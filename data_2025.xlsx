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enDepPor06\Desktop\"/>
    </mc:Choice>
  </mc:AlternateContent>
  <bookViews>
    <workbookView xWindow="0" yWindow="0" windowWidth="14380" windowHeight="5000" tabRatio="500" activeTab="10"/>
  </bookViews>
  <sheets>
    <sheet name="ENERO" sheetId="1" r:id="rId1"/>
    <sheet name="FEBRERO" sheetId="2" r:id="rId2"/>
    <sheet name="MARZO" sheetId="3" r:id="rId3"/>
    <sheet name="ABRIL" sheetId="4" r:id="rId4"/>
    <sheet name="MAYO" sheetId="5" r:id="rId5"/>
    <sheet name="JUNIO" sheetId="6" r:id="rId6"/>
    <sheet name="JULIO" sheetId="7" r:id="rId7"/>
    <sheet name="AGOSTO" sheetId="8" r:id="rId8"/>
    <sheet name="SEPTIEMBRE" sheetId="9" r:id="rId9"/>
    <sheet name="OCTUBRE" sheetId="10" r:id="rId10"/>
    <sheet name="NOVIEMBRE" sheetId="11" r:id="rId11"/>
  </sheets>
  <calcPr calcId="162913" iterateDelta="1E-4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M75" i="11" l="1"/>
  <c r="L75" i="11"/>
  <c r="K75" i="11"/>
  <c r="J75" i="11"/>
  <c r="I75" i="11"/>
  <c r="H75" i="11"/>
  <c r="G75" i="11"/>
  <c r="F75" i="11"/>
  <c r="E75" i="11"/>
  <c r="D75" i="11"/>
  <c r="C75" i="11"/>
  <c r="B75" i="11"/>
  <c r="O74" i="11"/>
  <c r="N74" i="11"/>
  <c r="O73" i="11"/>
  <c r="N73" i="11"/>
  <c r="O72" i="11"/>
  <c r="N72" i="11"/>
  <c r="O71" i="11"/>
  <c r="N71" i="11"/>
  <c r="O70" i="11"/>
  <c r="O75" i="11" s="1"/>
  <c r="N70" i="11"/>
  <c r="N75" i="11" s="1"/>
  <c r="Q65" i="11"/>
  <c r="P65" i="11"/>
  <c r="O65" i="11"/>
  <c r="N65" i="11"/>
  <c r="E65" i="11"/>
  <c r="D65" i="11"/>
  <c r="C64" i="11"/>
  <c r="B64" i="11"/>
  <c r="C63" i="11"/>
  <c r="B63" i="11"/>
  <c r="C62" i="11"/>
  <c r="B62" i="11"/>
  <c r="Q61" i="11"/>
  <c r="P61" i="11"/>
  <c r="O61" i="11"/>
  <c r="N61" i="11"/>
  <c r="M61" i="11"/>
  <c r="L61" i="11"/>
  <c r="K61" i="11"/>
  <c r="C61" i="11" s="1"/>
  <c r="J61" i="11"/>
  <c r="I61" i="11"/>
  <c r="H61" i="11"/>
  <c r="B61" i="11" s="1"/>
  <c r="G61" i="11"/>
  <c r="F61" i="11"/>
  <c r="E61" i="11"/>
  <c r="D61" i="11"/>
  <c r="C60" i="11"/>
  <c r="B60" i="11"/>
  <c r="C59" i="11"/>
  <c r="B59" i="11"/>
  <c r="C58" i="11"/>
  <c r="B58" i="11"/>
  <c r="C57" i="11"/>
  <c r="B57" i="11"/>
  <c r="B55" i="11" s="1"/>
  <c r="C56" i="11"/>
  <c r="C55" i="11" s="1"/>
  <c r="B56" i="11"/>
  <c r="Q55" i="11"/>
  <c r="P55" i="11"/>
  <c r="O55" i="11"/>
  <c r="N55" i="11"/>
  <c r="M55" i="11"/>
  <c r="L55" i="11"/>
  <c r="K55" i="11"/>
  <c r="J55" i="11"/>
  <c r="I55" i="11"/>
  <c r="H55" i="11"/>
  <c r="G55" i="11"/>
  <c r="G65" i="11" s="1"/>
  <c r="F55" i="11"/>
  <c r="E55" i="11"/>
  <c r="D55" i="11"/>
  <c r="C54" i="11"/>
  <c r="B54" i="11"/>
  <c r="C53" i="11"/>
  <c r="B53" i="11"/>
  <c r="C52" i="11"/>
  <c r="B52" i="11"/>
  <c r="C51" i="11"/>
  <c r="B51" i="11"/>
  <c r="C50" i="11"/>
  <c r="C47" i="11" s="1"/>
  <c r="B50" i="11"/>
  <c r="B47" i="11" s="1"/>
  <c r="C49" i="11"/>
  <c r="B49" i="11"/>
  <c r="C48" i="11"/>
  <c r="B48" i="11"/>
  <c r="Q47" i="11"/>
  <c r="P47" i="11"/>
  <c r="O47" i="11"/>
  <c r="N47" i="11"/>
  <c r="M47" i="11"/>
  <c r="L47" i="11"/>
  <c r="K47" i="11"/>
  <c r="J47" i="11"/>
  <c r="I47" i="11"/>
  <c r="I65" i="11" s="1"/>
  <c r="H47" i="11"/>
  <c r="H65" i="11" s="1"/>
  <c r="G47" i="11"/>
  <c r="F47" i="11"/>
  <c r="E47" i="11"/>
  <c r="D47" i="11"/>
  <c r="C46" i="11"/>
  <c r="B46" i="11"/>
  <c r="C45" i="11"/>
  <c r="B45" i="11"/>
  <c r="C44" i="11"/>
  <c r="B44" i="11"/>
  <c r="C43" i="11"/>
  <c r="B43" i="11"/>
  <c r="C42" i="11"/>
  <c r="B42" i="11"/>
  <c r="C41" i="11"/>
  <c r="B41" i="11"/>
  <c r="C40" i="11"/>
  <c r="B40" i="11"/>
  <c r="C39" i="11"/>
  <c r="B39" i="11"/>
  <c r="C38" i="11"/>
  <c r="B38" i="11"/>
  <c r="C37" i="11"/>
  <c r="B37" i="11"/>
  <c r="C36" i="11"/>
  <c r="B36" i="11"/>
  <c r="C35" i="11"/>
  <c r="B35" i="11"/>
  <c r="C34" i="11"/>
  <c r="B34" i="11"/>
  <c r="C33" i="11"/>
  <c r="B33" i="11"/>
  <c r="C32" i="11"/>
  <c r="B32" i="11"/>
  <c r="C31" i="11"/>
  <c r="B31" i="11"/>
  <c r="C30" i="11"/>
  <c r="B30" i="11"/>
  <c r="C29" i="11"/>
  <c r="B29" i="11"/>
  <c r="C28" i="11"/>
  <c r="B28" i="11"/>
  <c r="C27" i="11"/>
  <c r="B27" i="11"/>
  <c r="C26" i="11"/>
  <c r="B26" i="11"/>
  <c r="C25" i="11"/>
  <c r="B25" i="11"/>
  <c r="C24" i="11"/>
  <c r="B24" i="11"/>
  <c r="C23" i="11"/>
  <c r="B23" i="11"/>
  <c r="C22" i="11"/>
  <c r="B22" i="11"/>
  <c r="C21" i="11"/>
  <c r="B21" i="11"/>
  <c r="C20" i="11"/>
  <c r="B20" i="11"/>
  <c r="C19" i="11"/>
  <c r="B19" i="11"/>
  <c r="C18" i="11"/>
  <c r="B18" i="11"/>
  <c r="C17" i="11"/>
  <c r="B17" i="11"/>
  <c r="C16" i="11"/>
  <c r="B16" i="11"/>
  <c r="C15" i="11"/>
  <c r="B15" i="11"/>
  <c r="C14" i="11"/>
  <c r="B14" i="11"/>
  <c r="C13" i="11"/>
  <c r="B13" i="11"/>
  <c r="C12" i="11"/>
  <c r="B12" i="11"/>
  <c r="C11" i="11"/>
  <c r="B11" i="11"/>
  <c r="C10" i="11"/>
  <c r="B10" i="11"/>
  <c r="C9" i="11"/>
  <c r="B9" i="11"/>
  <c r="C8" i="11"/>
  <c r="C4" i="11" s="1"/>
  <c r="B8" i="11"/>
  <c r="C7" i="11"/>
  <c r="B7" i="11"/>
  <c r="C6" i="11"/>
  <c r="B6" i="11"/>
  <c r="C5" i="11"/>
  <c r="B5" i="11"/>
  <c r="B4" i="11" s="1"/>
  <c r="Q4" i="11"/>
  <c r="P4" i="11"/>
  <c r="O4" i="11"/>
  <c r="N4" i="11"/>
  <c r="M4" i="11"/>
  <c r="M65" i="11" s="1"/>
  <c r="L4" i="11"/>
  <c r="L65" i="11" s="1"/>
  <c r="K4" i="11"/>
  <c r="K65" i="11" s="1"/>
  <c r="J4" i="11"/>
  <c r="J65" i="11" s="1"/>
  <c r="I4" i="11"/>
  <c r="H4" i="11"/>
  <c r="G4" i="11"/>
  <c r="F4" i="11"/>
  <c r="F65" i="11" s="1"/>
  <c r="E4" i="11"/>
  <c r="D4" i="11"/>
  <c r="K72" i="10"/>
  <c r="J72" i="10"/>
  <c r="I72" i="10"/>
  <c r="H72" i="10"/>
  <c r="G72" i="10"/>
  <c r="F72" i="10"/>
  <c r="E72" i="10"/>
  <c r="D72" i="10"/>
  <c r="C72" i="10"/>
  <c r="B72" i="10"/>
  <c r="M71" i="10"/>
  <c r="L71" i="10"/>
  <c r="M70" i="10"/>
  <c r="L70" i="10"/>
  <c r="M69" i="10"/>
  <c r="L69" i="10"/>
  <c r="M68" i="10"/>
  <c r="M72" i="10" s="1"/>
  <c r="L68" i="10"/>
  <c r="L72" i="10" s="1"/>
  <c r="M67" i="10"/>
  <c r="L67" i="10"/>
  <c r="I62" i="10"/>
  <c r="H62" i="10"/>
  <c r="G62" i="10"/>
  <c r="F62" i="10"/>
  <c r="C61" i="10"/>
  <c r="B61" i="10"/>
  <c r="C60" i="10"/>
  <c r="B60" i="10"/>
  <c r="C59" i="10"/>
  <c r="B59" i="10"/>
  <c r="Q58" i="10"/>
  <c r="P58" i="10"/>
  <c r="O58" i="10"/>
  <c r="N58" i="10"/>
  <c r="C58" i="10" s="1"/>
  <c r="M58" i="10"/>
  <c r="L58" i="10"/>
  <c r="K58" i="10"/>
  <c r="J58" i="10"/>
  <c r="I58" i="10"/>
  <c r="H58" i="10"/>
  <c r="G58" i="10"/>
  <c r="F58" i="10"/>
  <c r="E58" i="10"/>
  <c r="D58" i="10"/>
  <c r="B58" i="10" s="1"/>
  <c r="C57" i="10"/>
  <c r="C52" i="10" s="1"/>
  <c r="B57" i="10"/>
  <c r="B52" i="10" s="1"/>
  <c r="C56" i="10"/>
  <c r="B56" i="10"/>
  <c r="C55" i="10"/>
  <c r="B55" i="10"/>
  <c r="C54" i="10"/>
  <c r="B54" i="10"/>
  <c r="C53" i="10"/>
  <c r="B53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1" i="10"/>
  <c r="B51" i="10"/>
  <c r="C50" i="10"/>
  <c r="B50" i="10"/>
  <c r="C49" i="10"/>
  <c r="B49" i="10"/>
  <c r="C48" i="10"/>
  <c r="B48" i="10"/>
  <c r="C47" i="10"/>
  <c r="B47" i="10"/>
  <c r="C46" i="10"/>
  <c r="B46" i="10"/>
  <c r="C45" i="10"/>
  <c r="B45" i="10"/>
  <c r="B44" i="10" s="1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C43" i="10"/>
  <c r="B43" i="10"/>
  <c r="C42" i="10"/>
  <c r="B42" i="10"/>
  <c r="C41" i="10"/>
  <c r="B41" i="10"/>
  <c r="C40" i="10"/>
  <c r="B40" i="10"/>
  <c r="C39" i="10"/>
  <c r="B39" i="10"/>
  <c r="C38" i="10"/>
  <c r="B38" i="10"/>
  <c r="C37" i="10"/>
  <c r="B37" i="10"/>
  <c r="C36" i="10"/>
  <c r="B36" i="10"/>
  <c r="C35" i="10"/>
  <c r="B35" i="10"/>
  <c r="C34" i="10"/>
  <c r="B34" i="10"/>
  <c r="C33" i="10"/>
  <c r="B33" i="10"/>
  <c r="C32" i="10"/>
  <c r="B32" i="10"/>
  <c r="C31" i="10"/>
  <c r="B31" i="10"/>
  <c r="C30" i="10"/>
  <c r="B30" i="10"/>
  <c r="C29" i="10"/>
  <c r="B29" i="10"/>
  <c r="C28" i="10"/>
  <c r="B28" i="10"/>
  <c r="C27" i="10"/>
  <c r="B27" i="10"/>
  <c r="C26" i="10"/>
  <c r="B26" i="10"/>
  <c r="C25" i="10"/>
  <c r="B25" i="10"/>
  <c r="C24" i="10"/>
  <c r="B24" i="10"/>
  <c r="C23" i="10"/>
  <c r="B23" i="10"/>
  <c r="C22" i="10"/>
  <c r="B22" i="10"/>
  <c r="C21" i="10"/>
  <c r="B21" i="10"/>
  <c r="C20" i="10"/>
  <c r="B20" i="10"/>
  <c r="C19" i="10"/>
  <c r="B19" i="10"/>
  <c r="C18" i="10"/>
  <c r="B18" i="10"/>
  <c r="C17" i="10"/>
  <c r="B17" i="10"/>
  <c r="C16" i="10"/>
  <c r="B16" i="10"/>
  <c r="C15" i="10"/>
  <c r="B15" i="10"/>
  <c r="C14" i="10"/>
  <c r="B14" i="10"/>
  <c r="C13" i="10"/>
  <c r="B13" i="10"/>
  <c r="C12" i="10"/>
  <c r="B12" i="10"/>
  <c r="C11" i="10"/>
  <c r="B11" i="10"/>
  <c r="C10" i="10"/>
  <c r="B10" i="10"/>
  <c r="C9" i="10"/>
  <c r="B9" i="10"/>
  <c r="C8" i="10"/>
  <c r="C4" i="10" s="1"/>
  <c r="B8" i="10"/>
  <c r="C7" i="10"/>
  <c r="B7" i="10"/>
  <c r="C6" i="10"/>
  <c r="B6" i="10"/>
  <c r="C5" i="10"/>
  <c r="B5" i="10"/>
  <c r="B4" i="10" s="1"/>
  <c r="Q4" i="10"/>
  <c r="Q62" i="10" s="1"/>
  <c r="P4" i="10"/>
  <c r="P62" i="10" s="1"/>
  <c r="O4" i="10"/>
  <c r="O62" i="10" s="1"/>
  <c r="N4" i="10"/>
  <c r="N62" i="10" s="1"/>
  <c r="M4" i="10"/>
  <c r="M62" i="10" s="1"/>
  <c r="L4" i="10"/>
  <c r="L62" i="10" s="1"/>
  <c r="K4" i="10"/>
  <c r="K62" i="10" s="1"/>
  <c r="J4" i="10"/>
  <c r="J62" i="10" s="1"/>
  <c r="I4" i="10"/>
  <c r="H4" i="10"/>
  <c r="G4" i="10"/>
  <c r="F4" i="10"/>
  <c r="E4" i="10"/>
  <c r="E62" i="10" s="1"/>
  <c r="D4" i="10"/>
  <c r="D62" i="10" s="1"/>
  <c r="M76" i="9"/>
  <c r="L76" i="9"/>
  <c r="K76" i="9"/>
  <c r="J76" i="9"/>
  <c r="I76" i="9"/>
  <c r="H76" i="9"/>
  <c r="G76" i="9"/>
  <c r="F76" i="9"/>
  <c r="E76" i="9"/>
  <c r="D76" i="9"/>
  <c r="C76" i="9"/>
  <c r="B76" i="9"/>
  <c r="O66" i="9"/>
  <c r="N66" i="9"/>
  <c r="M66" i="9"/>
  <c r="J66" i="9"/>
  <c r="C65" i="9"/>
  <c r="B65" i="9"/>
  <c r="C64" i="9"/>
  <c r="B64" i="9"/>
  <c r="C63" i="9"/>
  <c r="B63" i="9"/>
  <c r="Q62" i="9"/>
  <c r="P62" i="9"/>
  <c r="O62" i="9"/>
  <c r="N62" i="9"/>
  <c r="M62" i="9"/>
  <c r="L62" i="9"/>
  <c r="K62" i="9"/>
  <c r="C62" i="9" s="1"/>
  <c r="J62" i="9"/>
  <c r="I62" i="9"/>
  <c r="H62" i="9"/>
  <c r="G62" i="9"/>
  <c r="F62" i="9"/>
  <c r="E62" i="9"/>
  <c r="D62" i="9"/>
  <c r="B62" i="9" s="1"/>
  <c r="C61" i="9"/>
  <c r="B61" i="9"/>
  <c r="C60" i="9"/>
  <c r="B60" i="9"/>
  <c r="C59" i="9"/>
  <c r="B59" i="9"/>
  <c r="C58" i="9"/>
  <c r="B58" i="9"/>
  <c r="C57" i="9"/>
  <c r="C56" i="9" s="1"/>
  <c r="B57" i="9"/>
  <c r="Q56" i="9"/>
  <c r="Q66" i="9" s="1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B56" i="9"/>
  <c r="C55" i="9"/>
  <c r="B55" i="9"/>
  <c r="C54" i="9"/>
  <c r="B54" i="9"/>
  <c r="C53" i="9"/>
  <c r="B53" i="9"/>
  <c r="C52" i="9"/>
  <c r="B52" i="9"/>
  <c r="C51" i="9"/>
  <c r="B51" i="9"/>
  <c r="C50" i="9"/>
  <c r="B50" i="9"/>
  <c r="C49" i="9"/>
  <c r="C48" i="9" s="1"/>
  <c r="B49" i="9"/>
  <c r="B48" i="9" s="1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E66" i="9" s="1"/>
  <c r="D48" i="9"/>
  <c r="D66" i="9" s="1"/>
  <c r="C47" i="9"/>
  <c r="B47" i="9"/>
  <c r="C46" i="9"/>
  <c r="B46" i="9"/>
  <c r="C45" i="9"/>
  <c r="B45" i="9"/>
  <c r="C44" i="9"/>
  <c r="B44" i="9"/>
  <c r="C43" i="9"/>
  <c r="B43" i="9"/>
  <c r="C42" i="9"/>
  <c r="B42" i="9"/>
  <c r="C41" i="9"/>
  <c r="B41" i="9"/>
  <c r="C40" i="9"/>
  <c r="B40" i="9"/>
  <c r="C39" i="9"/>
  <c r="B39" i="9"/>
  <c r="C38" i="9"/>
  <c r="B38" i="9"/>
  <c r="C37" i="9"/>
  <c r="B37" i="9"/>
  <c r="C36" i="9"/>
  <c r="B36" i="9"/>
  <c r="C35" i="9"/>
  <c r="B35" i="9"/>
  <c r="C34" i="9"/>
  <c r="B34" i="9"/>
  <c r="C33" i="9"/>
  <c r="B33" i="9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10" i="9"/>
  <c r="B10" i="9"/>
  <c r="C9" i="9"/>
  <c r="B9" i="9"/>
  <c r="C8" i="9"/>
  <c r="B8" i="9"/>
  <c r="C7" i="9"/>
  <c r="C4" i="9" s="1"/>
  <c r="B7" i="9"/>
  <c r="B4" i="9" s="1"/>
  <c r="C6" i="9"/>
  <c r="B6" i="9"/>
  <c r="C5" i="9"/>
  <c r="B5" i="9"/>
  <c r="Q4" i="9"/>
  <c r="P4" i="9"/>
  <c r="P66" i="9" s="1"/>
  <c r="O4" i="9"/>
  <c r="N4" i="9"/>
  <c r="M4" i="9"/>
  <c r="L4" i="9"/>
  <c r="L66" i="9" s="1"/>
  <c r="K4" i="9"/>
  <c r="K66" i="9" s="1"/>
  <c r="J4" i="9"/>
  <c r="I4" i="9"/>
  <c r="I66" i="9" s="1"/>
  <c r="H4" i="9"/>
  <c r="H66" i="9" s="1"/>
  <c r="G4" i="9"/>
  <c r="G66" i="9" s="1"/>
  <c r="F4" i="9"/>
  <c r="F66" i="9" s="1"/>
  <c r="E4" i="9"/>
  <c r="D4" i="9"/>
  <c r="M69" i="8"/>
  <c r="L69" i="8"/>
  <c r="K69" i="8"/>
  <c r="J69" i="8"/>
  <c r="I69" i="8"/>
  <c r="H69" i="8"/>
  <c r="G69" i="8"/>
  <c r="F69" i="8"/>
  <c r="E69" i="8"/>
  <c r="D69" i="8"/>
  <c r="C69" i="8"/>
  <c r="B69" i="8"/>
  <c r="K59" i="8"/>
  <c r="H59" i="8"/>
  <c r="C58" i="8"/>
  <c r="B58" i="8"/>
  <c r="C57" i="8"/>
  <c r="B57" i="8"/>
  <c r="C56" i="8"/>
  <c r="B56" i="8"/>
  <c r="Q55" i="8"/>
  <c r="P55" i="8"/>
  <c r="C55" i="8" s="1"/>
  <c r="O55" i="8"/>
  <c r="N55" i="8"/>
  <c r="M55" i="8"/>
  <c r="L55" i="8"/>
  <c r="K55" i="8"/>
  <c r="J55" i="8"/>
  <c r="I55" i="8"/>
  <c r="H55" i="8"/>
  <c r="G55" i="8"/>
  <c r="F55" i="8"/>
  <c r="E55" i="8"/>
  <c r="D55" i="8"/>
  <c r="B55" i="8"/>
  <c r="C54" i="8"/>
  <c r="B54" i="8"/>
  <c r="C53" i="8"/>
  <c r="B53" i="8"/>
  <c r="C52" i="8"/>
  <c r="B52" i="8"/>
  <c r="C51" i="8"/>
  <c r="B51" i="8"/>
  <c r="C50" i="8"/>
  <c r="B50" i="8"/>
  <c r="B49" i="8" s="1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C48" i="8"/>
  <c r="C43" i="8" s="1"/>
  <c r="B48" i="8"/>
  <c r="B43" i="8" s="1"/>
  <c r="C47" i="8"/>
  <c r="B47" i="8"/>
  <c r="C46" i="8"/>
  <c r="B46" i="8"/>
  <c r="C45" i="8"/>
  <c r="B45" i="8"/>
  <c r="C44" i="8"/>
  <c r="B44" i="8"/>
  <c r="Q43" i="8"/>
  <c r="Q59" i="8" s="1"/>
  <c r="P43" i="8"/>
  <c r="P59" i="8" s="1"/>
  <c r="O43" i="8"/>
  <c r="O59" i="8" s="1"/>
  <c r="N43" i="8"/>
  <c r="M43" i="8"/>
  <c r="M59" i="8" s="1"/>
  <c r="L43" i="8"/>
  <c r="L59" i="8" s="1"/>
  <c r="K43" i="8"/>
  <c r="J43" i="8"/>
  <c r="I43" i="8"/>
  <c r="H43" i="8"/>
  <c r="G43" i="8"/>
  <c r="F43" i="8"/>
  <c r="E43" i="8"/>
  <c r="D43" i="8"/>
  <c r="C42" i="8"/>
  <c r="B42" i="8"/>
  <c r="C41" i="8"/>
  <c r="B41" i="8"/>
  <c r="C40" i="8"/>
  <c r="B40" i="8"/>
  <c r="C39" i="8"/>
  <c r="B39" i="8"/>
  <c r="C38" i="8"/>
  <c r="B38" i="8"/>
  <c r="C37" i="8"/>
  <c r="B37" i="8"/>
  <c r="C36" i="8"/>
  <c r="B36" i="8"/>
  <c r="C35" i="8"/>
  <c r="B35" i="8"/>
  <c r="C34" i="8"/>
  <c r="B34" i="8"/>
  <c r="C33" i="8"/>
  <c r="B33" i="8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C4" i="8" s="1"/>
  <c r="C59" i="8" s="1"/>
  <c r="B6" i="8"/>
  <c r="B4" i="8" s="1"/>
  <c r="C5" i="8"/>
  <c r="B5" i="8"/>
  <c r="Q4" i="8"/>
  <c r="P4" i="8"/>
  <c r="O4" i="8"/>
  <c r="N4" i="8"/>
  <c r="N59" i="8" s="1"/>
  <c r="M4" i="8"/>
  <c r="L4" i="8"/>
  <c r="K4" i="8"/>
  <c r="J4" i="8"/>
  <c r="J59" i="8" s="1"/>
  <c r="I4" i="8"/>
  <c r="I59" i="8" s="1"/>
  <c r="H4" i="8"/>
  <c r="G4" i="8"/>
  <c r="G59" i="8" s="1"/>
  <c r="F4" i="8"/>
  <c r="F59" i="8" s="1"/>
  <c r="E4" i="8"/>
  <c r="E59" i="8" s="1"/>
  <c r="D4" i="8"/>
  <c r="D59" i="8" s="1"/>
  <c r="K72" i="7"/>
  <c r="J72" i="7"/>
  <c r="I72" i="7"/>
  <c r="H72" i="7"/>
  <c r="G72" i="7"/>
  <c r="F72" i="7"/>
  <c r="E72" i="7"/>
  <c r="D72" i="7"/>
  <c r="C72" i="7"/>
  <c r="B72" i="7"/>
  <c r="M71" i="7"/>
  <c r="L71" i="7"/>
  <c r="M70" i="7"/>
  <c r="L70" i="7"/>
  <c r="M69" i="7"/>
  <c r="L69" i="7"/>
  <c r="M68" i="7"/>
  <c r="M72" i="7" s="1"/>
  <c r="L68" i="7"/>
  <c r="L72" i="7" s="1"/>
  <c r="Q63" i="7"/>
  <c r="N63" i="7"/>
  <c r="C62" i="7"/>
  <c r="B62" i="7"/>
  <c r="C61" i="7"/>
  <c r="B61" i="7"/>
  <c r="Q60" i="7"/>
  <c r="P60" i="7"/>
  <c r="O60" i="7"/>
  <c r="N60" i="7"/>
  <c r="M60" i="7"/>
  <c r="L60" i="7"/>
  <c r="K60" i="7"/>
  <c r="C60" i="7" s="1"/>
  <c r="J60" i="7"/>
  <c r="I60" i="7"/>
  <c r="H60" i="7"/>
  <c r="G60" i="7"/>
  <c r="F60" i="7"/>
  <c r="E60" i="7"/>
  <c r="B60" i="7" s="1"/>
  <c r="D60" i="7"/>
  <c r="C59" i="7"/>
  <c r="B59" i="7"/>
  <c r="C58" i="7"/>
  <c r="B58" i="7"/>
  <c r="C57" i="7"/>
  <c r="B57" i="7"/>
  <c r="C56" i="7"/>
  <c r="C55" i="7" s="1"/>
  <c r="B56" i="7"/>
  <c r="B55" i="7" s="1"/>
  <c r="Q55" i="7"/>
  <c r="P55" i="7"/>
  <c r="O55" i="7"/>
  <c r="O63" i="7" s="1"/>
  <c r="N55" i="7"/>
  <c r="M55" i="7"/>
  <c r="L55" i="7"/>
  <c r="K55" i="7"/>
  <c r="J55" i="7"/>
  <c r="I55" i="7"/>
  <c r="H55" i="7"/>
  <c r="G55" i="7"/>
  <c r="F55" i="7"/>
  <c r="E55" i="7"/>
  <c r="D55" i="7"/>
  <c r="D63" i="7" s="1"/>
  <c r="C54" i="7"/>
  <c r="B54" i="7"/>
  <c r="C53" i="7"/>
  <c r="B53" i="7"/>
  <c r="C52" i="7"/>
  <c r="B52" i="7"/>
  <c r="C51" i="7"/>
  <c r="C50" i="7" s="1"/>
  <c r="B51" i="7"/>
  <c r="Q50" i="7"/>
  <c r="P50" i="7"/>
  <c r="P63" i="7" s="1"/>
  <c r="O50" i="7"/>
  <c r="N50" i="7"/>
  <c r="M50" i="7"/>
  <c r="L50" i="7"/>
  <c r="K50" i="7"/>
  <c r="J50" i="7"/>
  <c r="I50" i="7"/>
  <c r="H50" i="7"/>
  <c r="G50" i="7"/>
  <c r="F50" i="7"/>
  <c r="E50" i="7"/>
  <c r="D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B4" i="7" s="1"/>
  <c r="C5" i="7"/>
  <c r="C4" i="7" s="1"/>
  <c r="C63" i="7" s="1"/>
  <c r="B5" i="7"/>
  <c r="Q4" i="7"/>
  <c r="P4" i="7"/>
  <c r="O4" i="7"/>
  <c r="N4" i="7"/>
  <c r="M4" i="7"/>
  <c r="M63" i="7" s="1"/>
  <c r="L4" i="7"/>
  <c r="L63" i="7" s="1"/>
  <c r="K4" i="7"/>
  <c r="K63" i="7" s="1"/>
  <c r="J4" i="7"/>
  <c r="I4" i="7"/>
  <c r="I63" i="7" s="1"/>
  <c r="H4" i="7"/>
  <c r="H63" i="7" s="1"/>
  <c r="G4" i="7"/>
  <c r="G63" i="7" s="1"/>
  <c r="F4" i="7"/>
  <c r="F63" i="7" s="1"/>
  <c r="E4" i="7"/>
  <c r="E63" i="7" s="1"/>
  <c r="D4" i="7"/>
  <c r="K63" i="6"/>
  <c r="J63" i="6"/>
  <c r="I63" i="6"/>
  <c r="H63" i="6"/>
  <c r="G63" i="6"/>
  <c r="F63" i="6"/>
  <c r="E63" i="6"/>
  <c r="D63" i="6"/>
  <c r="C63" i="6"/>
  <c r="B63" i="6"/>
  <c r="M62" i="6"/>
  <c r="L62" i="6"/>
  <c r="M61" i="6"/>
  <c r="L61" i="6"/>
  <c r="M60" i="6"/>
  <c r="L60" i="6"/>
  <c r="M59" i="6"/>
  <c r="M63" i="6" s="1"/>
  <c r="L59" i="6"/>
  <c r="L63" i="6" s="1"/>
  <c r="P54" i="6"/>
  <c r="N54" i="6"/>
  <c r="M54" i="6"/>
  <c r="C53" i="6"/>
  <c r="B53" i="6"/>
  <c r="C52" i="6"/>
  <c r="B52" i="6"/>
  <c r="Q51" i="6"/>
  <c r="P51" i="6"/>
  <c r="O51" i="6"/>
  <c r="N51" i="6"/>
  <c r="M51" i="6"/>
  <c r="L51" i="6"/>
  <c r="K51" i="6"/>
  <c r="C51" i="6" s="1"/>
  <c r="J51" i="6"/>
  <c r="I51" i="6"/>
  <c r="H51" i="6"/>
  <c r="G51" i="6"/>
  <c r="F51" i="6"/>
  <c r="E51" i="6"/>
  <c r="D51" i="6"/>
  <c r="B51" i="6" s="1"/>
  <c r="C50" i="6"/>
  <c r="B50" i="6"/>
  <c r="C49" i="6"/>
  <c r="B49" i="6"/>
  <c r="C48" i="6"/>
  <c r="B48" i="6"/>
  <c r="Q47" i="6"/>
  <c r="P47" i="6"/>
  <c r="O47" i="6"/>
  <c r="N47" i="6"/>
  <c r="M47" i="6"/>
  <c r="L47" i="6"/>
  <c r="C47" i="6" s="1"/>
  <c r="K47" i="6"/>
  <c r="J47" i="6"/>
  <c r="I47" i="6"/>
  <c r="H47" i="6"/>
  <c r="G47" i="6"/>
  <c r="F47" i="6"/>
  <c r="E47" i="6"/>
  <c r="D47" i="6"/>
  <c r="B47" i="6"/>
  <c r="C46" i="6"/>
  <c r="B46" i="6"/>
  <c r="C45" i="6"/>
  <c r="B45" i="6"/>
  <c r="C44" i="6"/>
  <c r="B44" i="6"/>
  <c r="C43" i="6"/>
  <c r="B43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1" i="6"/>
  <c r="B41" i="6"/>
  <c r="C40" i="6"/>
  <c r="B40" i="6"/>
  <c r="C39" i="6"/>
  <c r="B39" i="6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C4" i="6" s="1"/>
  <c r="B9" i="6"/>
  <c r="B4" i="6" s="1"/>
  <c r="B54" i="6" s="1"/>
  <c r="C8" i="6"/>
  <c r="B8" i="6"/>
  <c r="C7" i="6"/>
  <c r="B7" i="6"/>
  <c r="C6" i="6"/>
  <c r="B6" i="6"/>
  <c r="C5" i="6"/>
  <c r="B5" i="6"/>
  <c r="Q4" i="6"/>
  <c r="Q54" i="6" s="1"/>
  <c r="P4" i="6"/>
  <c r="O4" i="6"/>
  <c r="O54" i="6" s="1"/>
  <c r="N4" i="6"/>
  <c r="M4" i="6"/>
  <c r="L4" i="6"/>
  <c r="L54" i="6" s="1"/>
  <c r="K4" i="6"/>
  <c r="K54" i="6" s="1"/>
  <c r="J4" i="6"/>
  <c r="I4" i="6"/>
  <c r="I54" i="6" s="1"/>
  <c r="H4" i="6"/>
  <c r="H54" i="6" s="1"/>
  <c r="G4" i="6"/>
  <c r="G54" i="6" s="1"/>
  <c r="F4" i="6"/>
  <c r="F54" i="6" s="1"/>
  <c r="E4" i="6"/>
  <c r="E54" i="6" s="1"/>
  <c r="D4" i="6"/>
  <c r="D54" i="6" s="1"/>
  <c r="K66" i="5"/>
  <c r="J66" i="5"/>
  <c r="I66" i="5"/>
  <c r="H66" i="5"/>
  <c r="G66" i="5"/>
  <c r="F66" i="5"/>
  <c r="E66" i="5"/>
  <c r="D66" i="5"/>
  <c r="C66" i="5"/>
  <c r="B66" i="5"/>
  <c r="M65" i="5"/>
  <c r="L65" i="5"/>
  <c r="M64" i="5"/>
  <c r="M66" i="5" s="1"/>
  <c r="L64" i="5"/>
  <c r="M63" i="5"/>
  <c r="L63" i="5"/>
  <c r="L66" i="5" s="1"/>
  <c r="M62" i="5"/>
  <c r="L62" i="5"/>
  <c r="C56" i="5"/>
  <c r="B56" i="5"/>
  <c r="C55" i="5"/>
  <c r="B55" i="5"/>
  <c r="O54" i="5"/>
  <c r="N54" i="5"/>
  <c r="M54" i="5"/>
  <c r="L54" i="5"/>
  <c r="K54" i="5"/>
  <c r="J54" i="5"/>
  <c r="C54" i="5" s="1"/>
  <c r="I54" i="5"/>
  <c r="H54" i="5"/>
  <c r="B54" i="5" s="1"/>
  <c r="G54" i="5"/>
  <c r="F54" i="5"/>
  <c r="E54" i="5"/>
  <c r="D54" i="5"/>
  <c r="C53" i="5"/>
  <c r="B53" i="5"/>
  <c r="C52" i="5"/>
  <c r="B52" i="5"/>
  <c r="C51" i="5"/>
  <c r="B51" i="5"/>
  <c r="O50" i="5"/>
  <c r="N50" i="5"/>
  <c r="C50" i="5" s="1"/>
  <c r="M50" i="5"/>
  <c r="L50" i="5"/>
  <c r="K50" i="5"/>
  <c r="J50" i="5"/>
  <c r="I50" i="5"/>
  <c r="H50" i="5"/>
  <c r="G50" i="5"/>
  <c r="F50" i="5"/>
  <c r="E50" i="5"/>
  <c r="D50" i="5"/>
  <c r="B50" i="5" s="1"/>
  <c r="C49" i="5"/>
  <c r="B49" i="5"/>
  <c r="C48" i="5"/>
  <c r="B48" i="5"/>
  <c r="C47" i="5"/>
  <c r="B47" i="5"/>
  <c r="C46" i="5"/>
  <c r="B46" i="5"/>
  <c r="O45" i="5"/>
  <c r="N45" i="5"/>
  <c r="M45" i="5"/>
  <c r="L45" i="5"/>
  <c r="K45" i="5"/>
  <c r="J45" i="5"/>
  <c r="C45" i="5" s="1"/>
  <c r="I45" i="5"/>
  <c r="H45" i="5"/>
  <c r="B45" i="5" s="1"/>
  <c r="G45" i="5"/>
  <c r="F45" i="5"/>
  <c r="E45" i="5"/>
  <c r="D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C4" i="5" s="1"/>
  <c r="B6" i="5"/>
  <c r="B4" i="5" s="1"/>
  <c r="C5" i="5"/>
  <c r="B5" i="5"/>
  <c r="O4" i="5"/>
  <c r="O57" i="5" s="1"/>
  <c r="N4" i="5"/>
  <c r="N57" i="5" s="1"/>
  <c r="M4" i="5"/>
  <c r="M57" i="5" s="1"/>
  <c r="L4" i="5"/>
  <c r="L57" i="5" s="1"/>
  <c r="K4" i="5"/>
  <c r="K57" i="5" s="1"/>
  <c r="J4" i="5"/>
  <c r="J57" i="5" s="1"/>
  <c r="I4" i="5"/>
  <c r="I57" i="5" s="1"/>
  <c r="H4" i="5"/>
  <c r="H57" i="5" s="1"/>
  <c r="G4" i="5"/>
  <c r="G57" i="5" s="1"/>
  <c r="F4" i="5"/>
  <c r="F57" i="5" s="1"/>
  <c r="E4" i="5"/>
  <c r="E57" i="5" s="1"/>
  <c r="D4" i="5"/>
  <c r="D57" i="5" s="1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Q65" i="4"/>
  <c r="P65" i="4"/>
  <c r="Q64" i="4"/>
  <c r="P64" i="4"/>
  <c r="Q63" i="4"/>
  <c r="P63" i="4"/>
  <c r="Q62" i="4"/>
  <c r="Q66" i="4" s="1"/>
  <c r="P62" i="4"/>
  <c r="P66" i="4" s="1"/>
  <c r="C56" i="4"/>
  <c r="B56" i="4"/>
  <c r="C55" i="4"/>
  <c r="B55" i="4"/>
  <c r="O54" i="4"/>
  <c r="N54" i="4"/>
  <c r="M54" i="4"/>
  <c r="L54" i="4"/>
  <c r="K54" i="4"/>
  <c r="J54" i="4"/>
  <c r="C54" i="4" s="1"/>
  <c r="I54" i="4"/>
  <c r="H54" i="4"/>
  <c r="G54" i="4"/>
  <c r="F54" i="4"/>
  <c r="E54" i="4"/>
  <c r="D54" i="4"/>
  <c r="B54" i="4" s="1"/>
  <c r="C53" i="4"/>
  <c r="B53" i="4"/>
  <c r="C52" i="4"/>
  <c r="B52" i="4"/>
  <c r="C51" i="4"/>
  <c r="B51" i="4"/>
  <c r="O50" i="4"/>
  <c r="N50" i="4"/>
  <c r="M50" i="4"/>
  <c r="L50" i="4"/>
  <c r="K50" i="4"/>
  <c r="J50" i="4"/>
  <c r="C50" i="4" s="1"/>
  <c r="I50" i="4"/>
  <c r="H50" i="4"/>
  <c r="G50" i="4"/>
  <c r="F50" i="4"/>
  <c r="E50" i="4"/>
  <c r="D50" i="4"/>
  <c r="B50" i="4" s="1"/>
  <c r="C49" i="4"/>
  <c r="B49" i="4"/>
  <c r="C48" i="4"/>
  <c r="B48" i="4"/>
  <c r="C47" i="4"/>
  <c r="B47" i="4"/>
  <c r="C46" i="4"/>
  <c r="B46" i="4"/>
  <c r="O45" i="4"/>
  <c r="N45" i="4"/>
  <c r="M45" i="4"/>
  <c r="L45" i="4"/>
  <c r="K45" i="4"/>
  <c r="J45" i="4"/>
  <c r="C45" i="4" s="1"/>
  <c r="I45" i="4"/>
  <c r="H45" i="4"/>
  <c r="G45" i="4"/>
  <c r="F45" i="4"/>
  <c r="E45" i="4"/>
  <c r="D45" i="4"/>
  <c r="B45" i="4" s="1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B4" i="4" s="1"/>
  <c r="B57" i="4" s="1"/>
  <c r="C5" i="4"/>
  <c r="C4" i="4" s="1"/>
  <c r="C57" i="4" s="1"/>
  <c r="B5" i="4"/>
  <c r="O4" i="4"/>
  <c r="O57" i="4" s="1"/>
  <c r="N4" i="4"/>
  <c r="N57" i="4" s="1"/>
  <c r="M4" i="4"/>
  <c r="M57" i="4" s="1"/>
  <c r="L4" i="4"/>
  <c r="L57" i="4" s="1"/>
  <c r="K4" i="4"/>
  <c r="K57" i="4" s="1"/>
  <c r="J4" i="4"/>
  <c r="J57" i="4" s="1"/>
  <c r="I4" i="4"/>
  <c r="I57" i="4" s="1"/>
  <c r="H4" i="4"/>
  <c r="H57" i="4" s="1"/>
  <c r="G4" i="4"/>
  <c r="G57" i="4" s="1"/>
  <c r="F4" i="4"/>
  <c r="F57" i="4" s="1"/>
  <c r="E4" i="4"/>
  <c r="E57" i="4" s="1"/>
  <c r="D4" i="4"/>
  <c r="D57" i="4" s="1"/>
  <c r="M60" i="3"/>
  <c r="L60" i="3"/>
  <c r="K60" i="3"/>
  <c r="J60" i="3"/>
  <c r="I60" i="3"/>
  <c r="H60" i="3"/>
  <c r="G60" i="3"/>
  <c r="F60" i="3"/>
  <c r="E60" i="3"/>
  <c r="D60" i="3"/>
  <c r="C60" i="3"/>
  <c r="B60" i="3"/>
  <c r="O59" i="3"/>
  <c r="O60" i="3" s="1"/>
  <c r="N59" i="3"/>
  <c r="N60" i="3" s="1"/>
  <c r="O58" i="3"/>
  <c r="N58" i="3"/>
  <c r="O57" i="3"/>
  <c r="N57" i="3"/>
  <c r="O56" i="3"/>
  <c r="N56" i="3"/>
  <c r="I51" i="3"/>
  <c r="H51" i="3"/>
  <c r="C50" i="3"/>
  <c r="B50" i="3"/>
  <c r="C49" i="3"/>
  <c r="B49" i="3"/>
  <c r="C48" i="3"/>
  <c r="B48" i="3"/>
  <c r="O47" i="3"/>
  <c r="N47" i="3"/>
  <c r="C47" i="3" s="1"/>
  <c r="M47" i="3"/>
  <c r="L47" i="3"/>
  <c r="K47" i="3"/>
  <c r="J47" i="3"/>
  <c r="I47" i="3"/>
  <c r="H47" i="3"/>
  <c r="G47" i="3"/>
  <c r="F47" i="3"/>
  <c r="E47" i="3"/>
  <c r="D47" i="3"/>
  <c r="B47" i="3" s="1"/>
  <c r="C46" i="3"/>
  <c r="B46" i="3"/>
  <c r="C45" i="3"/>
  <c r="B45" i="3"/>
  <c r="C44" i="3"/>
  <c r="B44" i="3"/>
  <c r="C43" i="3"/>
  <c r="B43" i="3"/>
  <c r="O42" i="3"/>
  <c r="N42" i="3"/>
  <c r="M42" i="3"/>
  <c r="L42" i="3"/>
  <c r="K42" i="3"/>
  <c r="K51" i="3" s="1"/>
  <c r="J42" i="3"/>
  <c r="C42" i="3" s="1"/>
  <c r="I42" i="3"/>
  <c r="H42" i="3"/>
  <c r="B42" i="3" s="1"/>
  <c r="G42" i="3"/>
  <c r="F42" i="3"/>
  <c r="E42" i="3"/>
  <c r="D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C4" i="3" s="1"/>
  <c r="B10" i="3"/>
  <c r="B4" i="3" s="1"/>
  <c r="C9" i="3"/>
  <c r="B9" i="3"/>
  <c r="C8" i="3"/>
  <c r="B8" i="3"/>
  <c r="C7" i="3"/>
  <c r="B7" i="3"/>
  <c r="C6" i="3"/>
  <c r="B6" i="3"/>
  <c r="C5" i="3"/>
  <c r="B5" i="3"/>
  <c r="O4" i="3"/>
  <c r="O51" i="3" s="1"/>
  <c r="N4" i="3"/>
  <c r="N51" i="3" s="1"/>
  <c r="M4" i="3"/>
  <c r="M51" i="3" s="1"/>
  <c r="L4" i="3"/>
  <c r="L51" i="3" s="1"/>
  <c r="K4" i="3"/>
  <c r="J4" i="3"/>
  <c r="I4" i="3"/>
  <c r="H4" i="3"/>
  <c r="G4" i="3"/>
  <c r="G51" i="3" s="1"/>
  <c r="F4" i="3"/>
  <c r="F51" i="3" s="1"/>
  <c r="E4" i="3"/>
  <c r="E51" i="3" s="1"/>
  <c r="D4" i="3"/>
  <c r="D51" i="3" s="1"/>
  <c r="K58" i="2"/>
  <c r="J58" i="2"/>
  <c r="I58" i="2"/>
  <c r="H58" i="2"/>
  <c r="G58" i="2"/>
  <c r="F58" i="2"/>
  <c r="E58" i="2"/>
  <c r="D58" i="2"/>
  <c r="C58" i="2"/>
  <c r="B58" i="2"/>
  <c r="M57" i="2"/>
  <c r="L57" i="2"/>
  <c r="M56" i="2"/>
  <c r="L56" i="2"/>
  <c r="M55" i="2"/>
  <c r="M58" i="2" s="1"/>
  <c r="L55" i="2"/>
  <c r="L58" i="2" s="1"/>
  <c r="C49" i="2"/>
  <c r="B49" i="2"/>
  <c r="C48" i="2"/>
  <c r="B48" i="2"/>
  <c r="C47" i="2"/>
  <c r="B47" i="2"/>
  <c r="M46" i="2"/>
  <c r="L46" i="2"/>
  <c r="K46" i="2"/>
  <c r="J46" i="2"/>
  <c r="I46" i="2"/>
  <c r="C46" i="2" s="1"/>
  <c r="H46" i="2"/>
  <c r="G46" i="2"/>
  <c r="F46" i="2"/>
  <c r="E46" i="2"/>
  <c r="E50" i="2" s="1"/>
  <c r="D46" i="2"/>
  <c r="B46" i="2" s="1"/>
  <c r="C45" i="2"/>
  <c r="B45" i="2"/>
  <c r="C44" i="2"/>
  <c r="B44" i="2"/>
  <c r="C43" i="2"/>
  <c r="B43" i="2"/>
  <c r="C42" i="2"/>
  <c r="B42" i="2"/>
  <c r="M41" i="2"/>
  <c r="L41" i="2"/>
  <c r="K41" i="2"/>
  <c r="J41" i="2"/>
  <c r="I41" i="2"/>
  <c r="C41" i="2" s="1"/>
  <c r="H41" i="2"/>
  <c r="G41" i="2"/>
  <c r="F41" i="2"/>
  <c r="E41" i="2"/>
  <c r="D41" i="2"/>
  <c r="B41" i="2" s="1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C4" i="2" s="1"/>
  <c r="C50" i="2" s="1"/>
  <c r="B5" i="2"/>
  <c r="B4" i="2" s="1"/>
  <c r="B50" i="2" s="1"/>
  <c r="M4" i="2"/>
  <c r="M50" i="2" s="1"/>
  <c r="L4" i="2"/>
  <c r="L50" i="2" s="1"/>
  <c r="K4" i="2"/>
  <c r="K50" i="2" s="1"/>
  <c r="J4" i="2"/>
  <c r="J50" i="2" s="1"/>
  <c r="I4" i="2"/>
  <c r="I50" i="2" s="1"/>
  <c r="H4" i="2"/>
  <c r="H50" i="2" s="1"/>
  <c r="G4" i="2"/>
  <c r="G50" i="2" s="1"/>
  <c r="F4" i="2"/>
  <c r="F50" i="2" s="1"/>
  <c r="E4" i="2"/>
  <c r="D4" i="2"/>
  <c r="K51" i="1"/>
  <c r="J51" i="1"/>
  <c r="I51" i="1"/>
  <c r="H51" i="1"/>
  <c r="G51" i="1"/>
  <c r="F51" i="1"/>
  <c r="E51" i="1"/>
  <c r="D51" i="1"/>
  <c r="C51" i="1"/>
  <c r="B51" i="1"/>
  <c r="G44" i="1"/>
  <c r="E44" i="1"/>
  <c r="D44" i="1"/>
  <c r="C43" i="1"/>
  <c r="B43" i="1"/>
  <c r="C42" i="1"/>
  <c r="B42" i="1"/>
  <c r="C41" i="1"/>
  <c r="B41" i="1"/>
  <c r="M40" i="1"/>
  <c r="L40" i="1"/>
  <c r="K40" i="1"/>
  <c r="J40" i="1"/>
  <c r="I40" i="1"/>
  <c r="C40" i="1" s="1"/>
  <c r="H40" i="1"/>
  <c r="B40" i="1" s="1"/>
  <c r="G40" i="1"/>
  <c r="F40" i="1"/>
  <c r="E40" i="1"/>
  <c r="D40" i="1"/>
  <c r="C39" i="1"/>
  <c r="B39" i="1"/>
  <c r="C38" i="1"/>
  <c r="B38" i="1"/>
  <c r="C37" i="1"/>
  <c r="B37" i="1"/>
  <c r="C36" i="1"/>
  <c r="B36" i="1"/>
  <c r="M35" i="1"/>
  <c r="L35" i="1"/>
  <c r="K35" i="1"/>
  <c r="J35" i="1"/>
  <c r="I35" i="1"/>
  <c r="H35" i="1"/>
  <c r="G35" i="1"/>
  <c r="F35" i="1"/>
  <c r="E35" i="1"/>
  <c r="D35" i="1"/>
  <c r="B35" i="1" s="1"/>
  <c r="C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C4" i="1" s="1"/>
  <c r="B6" i="1"/>
  <c r="B4" i="1" s="1"/>
  <c r="C5" i="1"/>
  <c r="B5" i="1"/>
  <c r="M4" i="1"/>
  <c r="M44" i="1" s="1"/>
  <c r="L4" i="1"/>
  <c r="L44" i="1" s="1"/>
  <c r="K4" i="1"/>
  <c r="K44" i="1" s="1"/>
  <c r="J4" i="1"/>
  <c r="J44" i="1" s="1"/>
  <c r="I4" i="1"/>
  <c r="H4" i="1"/>
  <c r="G4" i="1"/>
  <c r="F4" i="1"/>
  <c r="F44" i="1" s="1"/>
  <c r="E4" i="1"/>
  <c r="D4" i="1"/>
  <c r="B66" i="9" l="1"/>
  <c r="B57" i="5"/>
  <c r="B63" i="7"/>
  <c r="C66" i="9"/>
  <c r="C57" i="5"/>
  <c r="B51" i="3"/>
  <c r="B62" i="10"/>
  <c r="C65" i="11"/>
  <c r="C51" i="3"/>
  <c r="C54" i="6"/>
  <c r="B59" i="8"/>
  <c r="B44" i="1"/>
  <c r="C44" i="1"/>
  <c r="C62" i="10"/>
  <c r="B65" i="11"/>
  <c r="J51" i="3"/>
  <c r="H44" i="1"/>
  <c r="D50" i="2"/>
  <c r="I44" i="1"/>
</calcChain>
</file>

<file path=xl/sharedStrings.xml><?xml version="1.0" encoding="utf-8"?>
<sst xmlns="http://schemas.openxmlformats.org/spreadsheetml/2006/main" count="1078" uniqueCount="117">
  <si>
    <t>NÚMERO DE SERVICIOS FACTURADOS</t>
  </si>
  <si>
    <t>ACTIVIDAD</t>
  </si>
  <si>
    <t>ENERO AÑO 2025</t>
  </si>
  <si>
    <t>CATEGORIAS USUARIOS</t>
  </si>
  <si>
    <t>CATEGORIAS USOS</t>
  </si>
  <si>
    <t>ESCUELAS DEPORTIVAS</t>
  </si>
  <si>
    <t>USUARIOS</t>
  </si>
  <si>
    <t>USOS</t>
  </si>
  <si>
    <t>A</t>
  </si>
  <si>
    <t>B</t>
  </si>
  <si>
    <t>C</t>
  </si>
  <si>
    <t>D</t>
  </si>
  <si>
    <t>E</t>
  </si>
  <si>
    <t>BALONCESTO ELITE</t>
  </si>
  <si>
    <t>CLUB CAMINANTES</t>
  </si>
  <si>
    <t>ESCUELA DE AJEDREZ</t>
  </si>
  <si>
    <t>ESCUELA DE BALONCESTO</t>
  </si>
  <si>
    <t>ESCUELA DE BOLOS</t>
  </si>
  <si>
    <t>ESCUELA DE FUTBOL</t>
  </si>
  <si>
    <t>ESCUELA DE FUTBOL F</t>
  </si>
  <si>
    <t>ESCUELA DE FUTBOL FEMENINO</t>
  </si>
  <si>
    <t>ESCUELA DE PATINAJE</t>
  </si>
  <si>
    <t>ESCUELA DE TAEKWONDO</t>
  </si>
  <si>
    <t>ESCUELA DE TENIS DE CAMPO NINO</t>
  </si>
  <si>
    <t>ESCUELA DE TENIS DE MESA - NINO</t>
  </si>
  <si>
    <t>ESCUELA DE VOLEIBOL</t>
  </si>
  <si>
    <t>ESCUELA DE VOLEIBOL F</t>
  </si>
  <si>
    <t>ESTIMULACION MOTRIZ STA ROSA</t>
  </si>
  <si>
    <t>FUTBOL ELITE</t>
  </si>
  <si>
    <t>GIMNASIO PAQUETE 10 SESIONES</t>
  </si>
  <si>
    <t>GIMNASIO PAQUETE 5 SESIONES</t>
  </si>
  <si>
    <t>NATACION ELITE</t>
  </si>
  <si>
    <t>PATINAJE ELITE</t>
  </si>
  <si>
    <t>PROGRAMA CLUB DE LA SALUD</t>
  </si>
  <si>
    <t>PROGRAMA DE NATACION DIA</t>
  </si>
  <si>
    <t>PROGRAMA ESTIMULACION MOTRIZ</t>
  </si>
  <si>
    <t xml:space="preserve">PROGRAMA MADRES GESTANTES </t>
  </si>
  <si>
    <t>PROGRAMA NATACION NOCTURNA</t>
  </si>
  <si>
    <t>SESION GIMNASIO</t>
  </si>
  <si>
    <t>TAEKWONDO ELITE</t>
  </si>
  <si>
    <t>TENIS DE CAMPO ADULTO</t>
  </si>
  <si>
    <t>TENIS DE CAMPO ELITE</t>
  </si>
  <si>
    <t>VOLEIBOL ELITE</t>
  </si>
  <si>
    <t>BALONCESTO DOSQUEBRADAS</t>
  </si>
  <si>
    <t>CLUB DE LA SALUD DOSQUEBRADAS</t>
  </si>
  <si>
    <t>FUTBOL DOSQUEBRADAS</t>
  </si>
  <si>
    <t>VOLEIBOL DOSQUEBRADAS</t>
  </si>
  <si>
    <t>CLUB DE LA SALUD STA ROSA</t>
  </si>
  <si>
    <t>ESCUELA DE FUTBOL SANTA ROSA</t>
  </si>
  <si>
    <t>ESCUELA DE TAEKWONDO	SANTA ROSA</t>
  </si>
  <si>
    <t>TOTAL GENERAL</t>
  </si>
  <si>
    <t>INFORMACION SUPER</t>
  </si>
  <si>
    <t>ACTIVIDAD SUPER</t>
  </si>
  <si>
    <t>Total PERSONAS</t>
  </si>
  <si>
    <t>Total USOS</t>
  </si>
  <si>
    <t>PERSONAS</t>
  </si>
  <si>
    <t>Total Usos</t>
  </si>
  <si>
    <t>Escuelas deportivas</t>
  </si>
  <si>
    <t>Gimnasio</t>
  </si>
  <si>
    <t>Total general</t>
  </si>
  <si>
    <t>FEBRERO AÑO 2025</t>
  </si>
  <si>
    <t>ESCUELA DE FUTBOL S</t>
  </si>
  <si>
    <t>ESCUELA DE PATINAJE F</t>
  </si>
  <si>
    <t>ESCUELA DE PATINAJE S</t>
  </si>
  <si>
    <t>ESCUELA DE TENIS DE CAMPO NINO F</t>
  </si>
  <si>
    <t>JUEGOS INTEREMPRESARIALES FUTBOL</t>
  </si>
  <si>
    <t>JUEGOS INTEREMPRESARIALES TENIS DE CAMPO PARTICIPANTE</t>
  </si>
  <si>
    <t>PROGRAMA DE NATACION DIA F</t>
  </si>
  <si>
    <t>EMPRESAS</t>
  </si>
  <si>
    <t>Torneos Deportivos</t>
  </si>
  <si>
    <t>MARZO AÑO 2025</t>
  </si>
  <si>
    <t>F</t>
  </si>
  <si>
    <t>CICLO PASEO</t>
  </si>
  <si>
    <t>JUEGOS INTEREMPRESARIALES BOLOS MIXTO</t>
  </si>
  <si>
    <t xml:space="preserve">JUEGOS INTEREMPRESARIALES FUTBOL 8 </t>
  </si>
  <si>
    <t>JUEGOS INTEREMPRESARIALES FUTSAL SINTETICA</t>
  </si>
  <si>
    <t>JUEGOS INTEREMPRESARIALES NATACION PARTICIPANTE</t>
  </si>
  <si>
    <t>JUEGOS INTEREMPRESARIALES TENIS DE MESA PARTICIPANTE</t>
  </si>
  <si>
    <t>JUEGOS INTEREMPRESARIALES VOLEIBOL</t>
  </si>
  <si>
    <t>ALIANZA A</t>
  </si>
  <si>
    <t>Otros eventos de tipo social celebrados con o sin infraestructura de las Cajas de Compensación Famil</t>
  </si>
  <si>
    <t>ABRIL AÑO 2025</t>
  </si>
  <si>
    <t xml:space="preserve">INSCRIPCION FESTIVAL DEPORTIVO </t>
  </si>
  <si>
    <t>JUEGOS INTEREMPRESARIALES AJEDREZ PARTICIPANTE</t>
  </si>
  <si>
    <t>JUEGOS INTEREMPRESARIALES SAPO MIXTO</t>
  </si>
  <si>
    <t xml:space="preserve">MONITOR DEPORTIVO CONVENIOS </t>
  </si>
  <si>
    <t>ESCUELA DE FUTBOL QUINCHIA</t>
  </si>
  <si>
    <t>ESCUELA NATACION QUINCHIA</t>
  </si>
  <si>
    <t>ALIANZA B</t>
  </si>
  <si>
    <t>MAYO AÑO 2025</t>
  </si>
  <si>
    <t>JUEGOS INTEREMPRESARIALES VOLEIBOL ARENA</t>
  </si>
  <si>
    <t>JUNIO AÑO 2025</t>
  </si>
  <si>
    <t>I</t>
  </si>
  <si>
    <t>JULIO AÑO 2025</t>
  </si>
  <si>
    <t>AGOSTO AÑO 2025</t>
  </si>
  <si>
    <t>PARQUEADERO ESCUELAS</t>
  </si>
  <si>
    <t>SMART FIT PEREIRA CERRITOS</t>
  </si>
  <si>
    <t>SMART FIT PEREIRA EXITO</t>
  </si>
  <si>
    <t>SMART FIT PEREIRA LA 14</t>
  </si>
  <si>
    <t>TENIS DE CAMPO ADULTO F</t>
  </si>
  <si>
    <t>SMART FIT DOSQUEBRADAS</t>
  </si>
  <si>
    <t>ACTIVATE COMFAMILIAR SANTA ROSA</t>
  </si>
  <si>
    <t>ELITES GOLD</t>
  </si>
  <si>
    <t>ACTIVATE COMFAMILIAR QUINCHIA</t>
  </si>
  <si>
    <t>Recreación dirigida</t>
  </si>
  <si>
    <t>SEPTIEMBRE AÑO 2025</t>
  </si>
  <si>
    <t>BODYTECH ONE</t>
  </si>
  <si>
    <t xml:space="preserve">FUTBOL ELITE </t>
  </si>
  <si>
    <t>PROGRAMA DE NATACION DIA S</t>
  </si>
  <si>
    <t>TENIS DE MESA ADULTO</t>
  </si>
  <si>
    <t>ACTIVATE COMFAMILIAR DOSQUEBRADAS</t>
  </si>
  <si>
    <t>BODYTECH PREMIUM</t>
  </si>
  <si>
    <t>OCTUBRE AÑO 2025</t>
  </si>
  <si>
    <t>JUEGOS INTEREMPRESARIALES BALONCESTO</t>
  </si>
  <si>
    <t>NOVIEMBRE AÑO 2025</t>
  </si>
  <si>
    <t>G</t>
  </si>
  <si>
    <t>FESTIVAL RECREODEPORTIVO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</si>
</sst>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"/>
  </numFmts>
  <fonts count="9" x14ac:knownFonts="1">
    <font>
      <sz val="11"/>
      <color rgb="FF000000"/>
      <name val="Calibri"/>
      <charset val="1"/>
    </font>
    <font>
      <b/>
      <sz val="20"/>
      <color rgb="FF000000"/>
      <name val="Calibri"/>
      <charset val="1"/>
    </font>
    <font>
      <b/>
      <sz val="10"/>
      <color rgb="FF000000"/>
      <name val="Arial"/>
      <charset val="1"/>
    </font>
    <font>
      <b/>
      <sz val="10"/>
      <color rgb="FF000000"/>
      <name val="Arial"/>
      <family val="2"/>
      <charset val="1"/>
    </font>
    <font>
      <b/>
      <sz val="11"/>
      <color rgb="FF000000"/>
      <name val="Calibri"/>
      <charset val="1"/>
    </font>
    <font>
      <sz val="10"/>
      <color rgb="FF000000"/>
      <name val="Arial"/>
      <family val="2"/>
      <charset val="1"/>
    </font>
    <font>
      <b/>
      <sz val="16"/>
      <color rgb="FF000000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7CAAC"/>
        <bgColor rgb="FFFFA6A6"/>
      </patternFill>
    </fill>
    <fill>
      <patternFill patternType="solid">
        <fgColor rgb="FFDEEAF6"/>
        <bgColor rgb="FFCCFFFF"/>
      </patternFill>
    </fill>
    <fill>
      <patternFill patternType="solid">
        <fgColor rgb="FFB4C6E7"/>
        <bgColor rgb="FFCCCCFF"/>
      </patternFill>
    </fill>
    <fill>
      <patternFill patternType="solid">
        <fgColor rgb="FFFFA6A6"/>
        <bgColor rgb="FFF7CAAC"/>
      </patternFill>
    </fill>
    <fill>
      <patternFill patternType="solid">
        <fgColor rgb="FFFFFFFF"/>
        <bgColor rgb="FFFFFFCC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0" fillId="5" borderId="9" xfId="0" applyFon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7" xfId="0" applyFont="1" applyBorder="1" applyAlignment="1">
      <alignment horizontal="left" indent="1"/>
    </xf>
    <xf numFmtId="0" fontId="5" fillId="6" borderId="7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7CAA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1"/>
  <sheetViews>
    <sheetView zoomScale="80" zoomScaleNormal="80" workbookViewId="0">
      <pane ySplit="3" topLeftCell="A40" activePane="bottomLeft" state="frozen"/>
      <selection pane="bottomLeft" activeCell="B56" sqref="B56"/>
    </sheetView>
  </sheetViews>
  <sheetFormatPr baseColWidth="10" defaultColWidth="15.1796875" defaultRowHeight="14.5" x14ac:dyDescent="0.35"/>
  <cols>
    <col min="1" max="1" width="47.08984375" customWidth="1"/>
    <col min="2" max="2" width="12.81640625" customWidth="1"/>
    <col min="3" max="3" width="6.54296875" customWidth="1"/>
    <col min="4" max="4" width="12.26953125" customWidth="1"/>
    <col min="5" max="5" width="10.26953125" customWidth="1"/>
    <col min="6" max="6" width="11" customWidth="1"/>
    <col min="7" max="7" width="8.453125" customWidth="1"/>
    <col min="8" max="8" width="6.90625" customWidth="1"/>
    <col min="9" max="9" width="7.08984375" customWidth="1"/>
    <col min="10" max="10" width="8" customWidth="1"/>
    <col min="11" max="11" width="8.453125" customWidth="1"/>
    <col min="12" max="12" width="12.453125" customWidth="1"/>
  </cols>
  <sheetData>
    <row r="1" spans="1:20" ht="26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/>
    </row>
    <row r="2" spans="1:20" ht="29.9" customHeight="1" x14ac:dyDescent="0.35">
      <c r="A2" s="8" t="s">
        <v>1</v>
      </c>
      <c r="B2" s="5" t="s">
        <v>2</v>
      </c>
      <c r="C2" s="5"/>
      <c r="D2" s="4" t="s">
        <v>3</v>
      </c>
      <c r="E2" s="4"/>
      <c r="F2" s="4"/>
      <c r="G2" s="4"/>
      <c r="H2" s="4"/>
      <c r="I2" s="4" t="s">
        <v>4</v>
      </c>
      <c r="J2" s="4"/>
      <c r="K2" s="4"/>
      <c r="L2" s="4"/>
      <c r="M2" s="9"/>
    </row>
    <row r="3" spans="1:20" x14ac:dyDescent="0.35">
      <c r="A3" s="10" t="s">
        <v>5</v>
      </c>
      <c r="B3" s="11" t="s">
        <v>6</v>
      </c>
      <c r="C3" s="12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13" t="s">
        <v>12</v>
      </c>
      <c r="I3" s="13" t="s">
        <v>8</v>
      </c>
      <c r="J3" s="13" t="s">
        <v>9</v>
      </c>
      <c r="K3" s="13" t="s">
        <v>10</v>
      </c>
      <c r="L3" s="13" t="s">
        <v>11</v>
      </c>
      <c r="M3" s="13" t="s">
        <v>12</v>
      </c>
    </row>
    <row r="4" spans="1:20" x14ac:dyDescent="0.35">
      <c r="A4" s="14">
        <v>3734</v>
      </c>
      <c r="B4" s="14">
        <f>SUM(B5:B34)</f>
        <v>3078</v>
      </c>
      <c r="C4" s="14">
        <f>SUM(C5:C34)</f>
        <v>4265</v>
      </c>
      <c r="D4" s="14">
        <f t="shared" ref="D4:M4" si="0">SUM(D5:D33)</f>
        <v>1766</v>
      </c>
      <c r="E4" s="14">
        <f t="shared" si="0"/>
        <v>769</v>
      </c>
      <c r="F4" s="14">
        <f t="shared" si="0"/>
        <v>183</v>
      </c>
      <c r="G4" s="14">
        <f t="shared" si="0"/>
        <v>340</v>
      </c>
      <c r="H4" s="14">
        <f t="shared" si="0"/>
        <v>0</v>
      </c>
      <c r="I4" s="14">
        <f t="shared" si="0"/>
        <v>2367</v>
      </c>
      <c r="J4" s="14">
        <f t="shared" si="0"/>
        <v>1191</v>
      </c>
      <c r="K4" s="14">
        <f t="shared" si="0"/>
        <v>272</v>
      </c>
      <c r="L4" s="14">
        <f t="shared" si="0"/>
        <v>415</v>
      </c>
      <c r="M4" s="14">
        <f t="shared" si="0"/>
        <v>0</v>
      </c>
      <c r="N4" s="15"/>
      <c r="O4" s="15"/>
      <c r="P4" s="15"/>
      <c r="Q4" s="15"/>
      <c r="R4" s="15"/>
      <c r="S4" s="15"/>
      <c r="T4" s="15"/>
    </row>
    <row r="5" spans="1:20" x14ac:dyDescent="0.35">
      <c r="A5" s="16" t="s">
        <v>13</v>
      </c>
      <c r="B5" s="17">
        <f t="shared" ref="B5:B43" si="1">SUM(D5:H5)</f>
        <v>10</v>
      </c>
      <c r="C5" s="17">
        <f t="shared" ref="C5:C43" si="2">SUM(I5:M5)</f>
        <v>14</v>
      </c>
      <c r="D5" s="16">
        <v>5</v>
      </c>
      <c r="E5" s="16">
        <v>4</v>
      </c>
      <c r="F5" s="16">
        <v>0</v>
      </c>
      <c r="G5" s="16">
        <v>1</v>
      </c>
      <c r="H5" s="16">
        <v>0</v>
      </c>
      <c r="I5" s="16">
        <v>7</v>
      </c>
      <c r="J5" s="16">
        <v>6</v>
      </c>
      <c r="K5" s="16">
        <v>0</v>
      </c>
      <c r="L5" s="16">
        <v>1</v>
      </c>
      <c r="M5" s="16">
        <v>0</v>
      </c>
    </row>
    <row r="6" spans="1:20" x14ac:dyDescent="0.35">
      <c r="A6" s="16" t="s">
        <v>14</v>
      </c>
      <c r="B6" s="17">
        <f t="shared" si="1"/>
        <v>118</v>
      </c>
      <c r="C6" s="17">
        <f t="shared" si="2"/>
        <v>129</v>
      </c>
      <c r="D6" s="16">
        <v>54</v>
      </c>
      <c r="E6" s="16">
        <v>32</v>
      </c>
      <c r="F6" s="16">
        <v>12</v>
      </c>
      <c r="G6" s="16">
        <v>20</v>
      </c>
      <c r="H6" s="16">
        <v>0</v>
      </c>
      <c r="I6" s="16">
        <v>58</v>
      </c>
      <c r="J6" s="16">
        <v>37</v>
      </c>
      <c r="K6" s="16">
        <v>12</v>
      </c>
      <c r="L6" s="16">
        <v>22</v>
      </c>
      <c r="M6" s="16">
        <v>0</v>
      </c>
    </row>
    <row r="7" spans="1:20" x14ac:dyDescent="0.35">
      <c r="A7" s="16" t="s">
        <v>15</v>
      </c>
      <c r="B7" s="17">
        <f t="shared" si="1"/>
        <v>17</v>
      </c>
      <c r="C7" s="17">
        <f t="shared" si="2"/>
        <v>22</v>
      </c>
      <c r="D7" s="16">
        <v>9</v>
      </c>
      <c r="E7" s="16">
        <v>7</v>
      </c>
      <c r="F7" s="16">
        <v>0</v>
      </c>
      <c r="G7" s="16">
        <v>1</v>
      </c>
      <c r="H7" s="16">
        <v>0</v>
      </c>
      <c r="I7" s="16">
        <v>11</v>
      </c>
      <c r="J7" s="16">
        <v>10</v>
      </c>
      <c r="K7" s="16">
        <v>0</v>
      </c>
      <c r="L7" s="16">
        <v>1</v>
      </c>
      <c r="M7" s="16">
        <v>0</v>
      </c>
    </row>
    <row r="8" spans="1:20" x14ac:dyDescent="0.35">
      <c r="A8" s="16" t="s">
        <v>16</v>
      </c>
      <c r="B8" s="17">
        <f t="shared" si="1"/>
        <v>115</v>
      </c>
      <c r="C8" s="17">
        <f t="shared" si="2"/>
        <v>232</v>
      </c>
      <c r="D8" s="16">
        <v>55</v>
      </c>
      <c r="E8" s="16">
        <v>38</v>
      </c>
      <c r="F8" s="16">
        <v>9</v>
      </c>
      <c r="G8" s="16">
        <v>13</v>
      </c>
      <c r="H8" s="16">
        <v>0</v>
      </c>
      <c r="I8" s="16">
        <v>98</v>
      </c>
      <c r="J8" s="16">
        <v>93</v>
      </c>
      <c r="K8" s="16">
        <v>23</v>
      </c>
      <c r="L8" s="16">
        <v>18</v>
      </c>
      <c r="M8" s="16">
        <v>0</v>
      </c>
    </row>
    <row r="9" spans="1:20" x14ac:dyDescent="0.35">
      <c r="A9" s="16" t="s">
        <v>17</v>
      </c>
      <c r="B9" s="17">
        <f t="shared" si="1"/>
        <v>3</v>
      </c>
      <c r="C9" s="17">
        <f t="shared" si="2"/>
        <v>12</v>
      </c>
      <c r="D9" s="16">
        <v>3</v>
      </c>
      <c r="E9" s="16">
        <v>0</v>
      </c>
      <c r="F9" s="16">
        <v>0</v>
      </c>
      <c r="G9" s="16">
        <v>0</v>
      </c>
      <c r="H9" s="16">
        <v>0</v>
      </c>
      <c r="I9" s="16">
        <v>12</v>
      </c>
      <c r="J9" s="16">
        <v>0</v>
      </c>
      <c r="K9" s="16">
        <v>0</v>
      </c>
      <c r="L9" s="16">
        <v>0</v>
      </c>
      <c r="M9" s="16">
        <v>0</v>
      </c>
    </row>
    <row r="10" spans="1:20" x14ac:dyDescent="0.35">
      <c r="A10" s="16" t="s">
        <v>18</v>
      </c>
      <c r="B10" s="17">
        <f t="shared" si="1"/>
        <v>515</v>
      </c>
      <c r="C10" s="17">
        <f t="shared" si="2"/>
        <v>748</v>
      </c>
      <c r="D10" s="16">
        <v>306</v>
      </c>
      <c r="E10" s="16">
        <v>128</v>
      </c>
      <c r="F10" s="16">
        <v>20</v>
      </c>
      <c r="G10" s="16">
        <v>61</v>
      </c>
      <c r="H10" s="16">
        <v>0</v>
      </c>
      <c r="I10" s="16">
        <v>424</v>
      </c>
      <c r="J10" s="16">
        <v>213</v>
      </c>
      <c r="K10" s="16">
        <v>35</v>
      </c>
      <c r="L10" s="16">
        <v>76</v>
      </c>
      <c r="M10" s="16">
        <v>0</v>
      </c>
    </row>
    <row r="11" spans="1:20" x14ac:dyDescent="0.35">
      <c r="A11" s="16" t="s">
        <v>19</v>
      </c>
      <c r="B11" s="17">
        <f t="shared" si="1"/>
        <v>8</v>
      </c>
      <c r="C11" s="17">
        <f t="shared" si="2"/>
        <v>9</v>
      </c>
      <c r="D11" s="16">
        <v>2</v>
      </c>
      <c r="E11" s="16">
        <v>2</v>
      </c>
      <c r="F11" s="16">
        <v>1</v>
      </c>
      <c r="G11" s="16">
        <v>3</v>
      </c>
      <c r="H11" s="16">
        <v>0</v>
      </c>
      <c r="I11" s="16">
        <v>2</v>
      </c>
      <c r="J11" s="16">
        <v>2</v>
      </c>
      <c r="K11" s="16">
        <v>2</v>
      </c>
      <c r="L11" s="16">
        <v>3</v>
      </c>
      <c r="M11" s="16">
        <v>0</v>
      </c>
    </row>
    <row r="12" spans="1:20" x14ac:dyDescent="0.35">
      <c r="A12" s="16" t="s">
        <v>20</v>
      </c>
      <c r="B12" s="17">
        <f t="shared" si="1"/>
        <v>28</v>
      </c>
      <c r="C12" s="17">
        <f t="shared" si="2"/>
        <v>40</v>
      </c>
      <c r="D12" s="16">
        <v>15</v>
      </c>
      <c r="E12" s="16">
        <v>6</v>
      </c>
      <c r="F12" s="16">
        <v>1</v>
      </c>
      <c r="G12" s="16">
        <v>6</v>
      </c>
      <c r="H12" s="16">
        <v>0</v>
      </c>
      <c r="I12" s="16">
        <v>17</v>
      </c>
      <c r="J12" s="16">
        <v>10</v>
      </c>
      <c r="K12" s="16">
        <v>1</v>
      </c>
      <c r="L12" s="16">
        <v>12</v>
      </c>
      <c r="M12" s="16">
        <v>0</v>
      </c>
    </row>
    <row r="13" spans="1:20" x14ac:dyDescent="0.35">
      <c r="A13" s="16" t="s">
        <v>21</v>
      </c>
      <c r="B13" s="17">
        <f t="shared" si="1"/>
        <v>281</v>
      </c>
      <c r="C13" s="17">
        <f t="shared" si="2"/>
        <v>427</v>
      </c>
      <c r="D13" s="16">
        <v>172</v>
      </c>
      <c r="E13" s="16">
        <v>65</v>
      </c>
      <c r="F13" s="16">
        <v>16</v>
      </c>
      <c r="G13" s="16">
        <v>28</v>
      </c>
      <c r="H13" s="16">
        <v>0</v>
      </c>
      <c r="I13" s="16">
        <v>250</v>
      </c>
      <c r="J13" s="16">
        <v>114</v>
      </c>
      <c r="K13" s="16">
        <v>24</v>
      </c>
      <c r="L13" s="16">
        <v>39</v>
      </c>
      <c r="M13" s="16">
        <v>0</v>
      </c>
    </row>
    <row r="14" spans="1:20" x14ac:dyDescent="0.35">
      <c r="A14" s="16" t="s">
        <v>22</v>
      </c>
      <c r="B14" s="17">
        <f t="shared" si="1"/>
        <v>143</v>
      </c>
      <c r="C14" s="17">
        <f t="shared" si="2"/>
        <v>185</v>
      </c>
      <c r="D14" s="16">
        <v>86</v>
      </c>
      <c r="E14" s="16">
        <v>32</v>
      </c>
      <c r="F14" s="16">
        <v>8</v>
      </c>
      <c r="G14" s="16">
        <v>17</v>
      </c>
      <c r="H14" s="16">
        <v>0</v>
      </c>
      <c r="I14" s="16">
        <v>108</v>
      </c>
      <c r="J14" s="16">
        <v>47</v>
      </c>
      <c r="K14" s="16">
        <v>11</v>
      </c>
      <c r="L14" s="16">
        <v>19</v>
      </c>
      <c r="M14" s="16">
        <v>0</v>
      </c>
    </row>
    <row r="15" spans="1:20" x14ac:dyDescent="0.35">
      <c r="A15" s="16" t="s">
        <v>23</v>
      </c>
      <c r="B15" s="17">
        <f t="shared" si="1"/>
        <v>66</v>
      </c>
      <c r="C15" s="17">
        <f t="shared" si="2"/>
        <v>114</v>
      </c>
      <c r="D15" s="16">
        <v>36</v>
      </c>
      <c r="E15" s="16">
        <v>20</v>
      </c>
      <c r="F15" s="16">
        <v>4</v>
      </c>
      <c r="G15" s="16">
        <v>6</v>
      </c>
      <c r="H15" s="16">
        <v>0</v>
      </c>
      <c r="I15" s="16">
        <v>64</v>
      </c>
      <c r="J15" s="16">
        <v>35</v>
      </c>
      <c r="K15" s="16">
        <v>4</v>
      </c>
      <c r="L15" s="16">
        <v>11</v>
      </c>
      <c r="M15" s="16">
        <v>0</v>
      </c>
    </row>
    <row r="16" spans="1:20" x14ac:dyDescent="0.35">
      <c r="A16" s="16" t="s">
        <v>24</v>
      </c>
      <c r="B16" s="17">
        <f t="shared" si="1"/>
        <v>33</v>
      </c>
      <c r="C16" s="17">
        <f t="shared" si="2"/>
        <v>75</v>
      </c>
      <c r="D16" s="16">
        <v>9</v>
      </c>
      <c r="E16" s="16">
        <v>18</v>
      </c>
      <c r="F16" s="16">
        <v>5</v>
      </c>
      <c r="G16" s="16">
        <v>1</v>
      </c>
      <c r="H16" s="16">
        <v>0</v>
      </c>
      <c r="I16" s="16">
        <v>18</v>
      </c>
      <c r="J16" s="16">
        <v>42</v>
      </c>
      <c r="K16" s="16">
        <v>14</v>
      </c>
      <c r="L16" s="16">
        <v>1</v>
      </c>
      <c r="M16" s="16">
        <v>0</v>
      </c>
    </row>
    <row r="17" spans="1:13" x14ac:dyDescent="0.35">
      <c r="A17" s="16" t="s">
        <v>25</v>
      </c>
      <c r="B17" s="17">
        <f t="shared" si="1"/>
        <v>173</v>
      </c>
      <c r="C17" s="17">
        <f t="shared" si="2"/>
        <v>216</v>
      </c>
      <c r="D17" s="16">
        <v>107</v>
      </c>
      <c r="E17" s="16">
        <v>28</v>
      </c>
      <c r="F17" s="16">
        <v>7</v>
      </c>
      <c r="G17" s="16">
        <v>31</v>
      </c>
      <c r="H17" s="16">
        <v>0</v>
      </c>
      <c r="I17" s="16">
        <v>136</v>
      </c>
      <c r="J17" s="16">
        <v>36</v>
      </c>
      <c r="K17" s="16">
        <v>8</v>
      </c>
      <c r="L17" s="16">
        <v>36</v>
      </c>
      <c r="M17" s="16">
        <v>0</v>
      </c>
    </row>
    <row r="18" spans="1:13" x14ac:dyDescent="0.35">
      <c r="A18" s="16" t="s">
        <v>26</v>
      </c>
      <c r="B18" s="17">
        <f t="shared" si="1"/>
        <v>2</v>
      </c>
      <c r="C18" s="17">
        <f t="shared" si="2"/>
        <v>2</v>
      </c>
      <c r="D18" s="16">
        <v>0</v>
      </c>
      <c r="E18" s="16">
        <v>0</v>
      </c>
      <c r="F18" s="16">
        <v>1</v>
      </c>
      <c r="G18" s="16">
        <v>1</v>
      </c>
      <c r="H18" s="16">
        <v>0</v>
      </c>
      <c r="I18" s="16">
        <v>0</v>
      </c>
      <c r="J18" s="16">
        <v>0</v>
      </c>
      <c r="K18" s="16">
        <v>1</v>
      </c>
      <c r="L18" s="16">
        <v>1</v>
      </c>
      <c r="M18" s="16">
        <v>0</v>
      </c>
    </row>
    <row r="19" spans="1:13" x14ac:dyDescent="0.35">
      <c r="A19" s="16" t="s">
        <v>27</v>
      </c>
      <c r="B19" s="17">
        <f t="shared" si="1"/>
        <v>51</v>
      </c>
      <c r="C19" s="17">
        <f t="shared" si="2"/>
        <v>53</v>
      </c>
      <c r="D19" s="16">
        <v>26</v>
      </c>
      <c r="E19" s="16">
        <v>14</v>
      </c>
      <c r="F19" s="16">
        <v>3</v>
      </c>
      <c r="G19" s="16">
        <v>8</v>
      </c>
      <c r="H19" s="16">
        <v>0</v>
      </c>
      <c r="I19" s="16">
        <v>26</v>
      </c>
      <c r="J19" s="16">
        <v>16</v>
      </c>
      <c r="K19" s="16">
        <v>3</v>
      </c>
      <c r="L19" s="16">
        <v>8</v>
      </c>
      <c r="M19" s="16">
        <v>0</v>
      </c>
    </row>
    <row r="20" spans="1:13" x14ac:dyDescent="0.35">
      <c r="A20" s="16" t="s">
        <v>28</v>
      </c>
      <c r="B20" s="17">
        <f t="shared" si="1"/>
        <v>76</v>
      </c>
      <c r="C20" s="17">
        <f t="shared" si="2"/>
        <v>82</v>
      </c>
      <c r="D20" s="16">
        <v>53</v>
      </c>
      <c r="E20" s="16">
        <v>14</v>
      </c>
      <c r="F20" s="16">
        <v>5</v>
      </c>
      <c r="G20" s="16">
        <v>4</v>
      </c>
      <c r="H20" s="16">
        <v>0</v>
      </c>
      <c r="I20" s="16">
        <v>59</v>
      </c>
      <c r="J20" s="16">
        <v>14</v>
      </c>
      <c r="K20" s="16">
        <v>5</v>
      </c>
      <c r="L20" s="16">
        <v>4</v>
      </c>
      <c r="M20" s="16">
        <v>0</v>
      </c>
    </row>
    <row r="21" spans="1:13" x14ac:dyDescent="0.35">
      <c r="A21" s="16" t="s">
        <v>29</v>
      </c>
      <c r="B21" s="17">
        <f t="shared" si="1"/>
        <v>68</v>
      </c>
      <c r="C21" s="17">
        <f t="shared" si="2"/>
        <v>75</v>
      </c>
      <c r="D21" s="16">
        <v>47</v>
      </c>
      <c r="E21" s="16">
        <v>17</v>
      </c>
      <c r="F21" s="16">
        <v>0</v>
      </c>
      <c r="G21" s="16">
        <v>4</v>
      </c>
      <c r="H21" s="16">
        <v>0</v>
      </c>
      <c r="I21" s="16">
        <v>51</v>
      </c>
      <c r="J21" s="16">
        <v>20</v>
      </c>
      <c r="K21" s="16">
        <v>0</v>
      </c>
      <c r="L21" s="16">
        <v>4</v>
      </c>
      <c r="M21" s="16">
        <v>0</v>
      </c>
    </row>
    <row r="22" spans="1:13" x14ac:dyDescent="0.35">
      <c r="A22" s="16" t="s">
        <v>30</v>
      </c>
      <c r="B22" s="17">
        <f t="shared" si="1"/>
        <v>41</v>
      </c>
      <c r="C22" s="17">
        <f t="shared" si="2"/>
        <v>48</v>
      </c>
      <c r="D22" s="16">
        <v>32</v>
      </c>
      <c r="E22" s="16">
        <v>4</v>
      </c>
      <c r="F22" s="16">
        <v>2</v>
      </c>
      <c r="G22" s="16">
        <v>3</v>
      </c>
      <c r="H22" s="16">
        <v>0</v>
      </c>
      <c r="I22" s="16">
        <v>37</v>
      </c>
      <c r="J22" s="16">
        <v>4</v>
      </c>
      <c r="K22" s="16">
        <v>3</v>
      </c>
      <c r="L22" s="16">
        <v>4</v>
      </c>
      <c r="M22" s="16">
        <v>0</v>
      </c>
    </row>
    <row r="23" spans="1:13" x14ac:dyDescent="0.35">
      <c r="A23" s="16" t="s">
        <v>31</v>
      </c>
      <c r="B23" s="17">
        <f t="shared" si="1"/>
        <v>14</v>
      </c>
      <c r="C23" s="17">
        <f t="shared" si="2"/>
        <v>25</v>
      </c>
      <c r="D23" s="16">
        <v>10</v>
      </c>
      <c r="E23" s="16">
        <v>1</v>
      </c>
      <c r="F23" s="16">
        <v>3</v>
      </c>
      <c r="G23" s="16">
        <v>0</v>
      </c>
      <c r="H23" s="16">
        <v>0</v>
      </c>
      <c r="I23" s="16">
        <v>19</v>
      </c>
      <c r="J23" s="16">
        <v>1</v>
      </c>
      <c r="K23" s="16">
        <v>5</v>
      </c>
      <c r="L23" s="16">
        <v>0</v>
      </c>
      <c r="M23" s="16">
        <v>0</v>
      </c>
    </row>
    <row r="24" spans="1:13" x14ac:dyDescent="0.35">
      <c r="A24" s="16" t="s">
        <v>32</v>
      </c>
      <c r="B24" s="17">
        <f t="shared" si="1"/>
        <v>18</v>
      </c>
      <c r="C24" s="17">
        <f t="shared" si="2"/>
        <v>24</v>
      </c>
      <c r="D24" s="16">
        <v>15</v>
      </c>
      <c r="E24" s="16">
        <v>3</v>
      </c>
      <c r="F24" s="16">
        <v>0</v>
      </c>
      <c r="G24" s="16">
        <v>0</v>
      </c>
      <c r="H24" s="16">
        <v>0</v>
      </c>
      <c r="I24" s="16">
        <v>19</v>
      </c>
      <c r="J24" s="16">
        <v>5</v>
      </c>
      <c r="K24" s="16">
        <v>0</v>
      </c>
      <c r="L24" s="16">
        <v>0</v>
      </c>
      <c r="M24" s="16">
        <v>0</v>
      </c>
    </row>
    <row r="25" spans="1:13" x14ac:dyDescent="0.35">
      <c r="A25" s="16" t="s">
        <v>33</v>
      </c>
      <c r="B25" s="17">
        <f t="shared" si="1"/>
        <v>76</v>
      </c>
      <c r="C25" s="17">
        <f t="shared" si="2"/>
        <v>119</v>
      </c>
      <c r="D25" s="16">
        <v>47</v>
      </c>
      <c r="E25" s="16">
        <v>16</v>
      </c>
      <c r="F25" s="16">
        <v>3</v>
      </c>
      <c r="G25" s="16">
        <v>10</v>
      </c>
      <c r="H25" s="16">
        <v>0</v>
      </c>
      <c r="I25" s="16">
        <v>68</v>
      </c>
      <c r="J25" s="16">
        <v>34</v>
      </c>
      <c r="K25" s="16">
        <v>7</v>
      </c>
      <c r="L25" s="16">
        <v>10</v>
      </c>
      <c r="M25" s="16">
        <v>0</v>
      </c>
    </row>
    <row r="26" spans="1:13" x14ac:dyDescent="0.35">
      <c r="A26" s="16" t="s">
        <v>34</v>
      </c>
      <c r="B26" s="17">
        <f t="shared" si="1"/>
        <v>685</v>
      </c>
      <c r="C26" s="17">
        <f t="shared" si="2"/>
        <v>931</v>
      </c>
      <c r="D26" s="16">
        <v>428</v>
      </c>
      <c r="E26" s="16">
        <v>165</v>
      </c>
      <c r="F26" s="16">
        <v>40</v>
      </c>
      <c r="G26" s="16">
        <v>52</v>
      </c>
      <c r="H26" s="16">
        <v>0</v>
      </c>
      <c r="I26" s="16">
        <v>565</v>
      </c>
      <c r="J26" s="16">
        <v>239</v>
      </c>
      <c r="K26" s="16">
        <v>59</v>
      </c>
      <c r="L26" s="16">
        <v>68</v>
      </c>
      <c r="M26" s="16">
        <v>0</v>
      </c>
    </row>
    <row r="27" spans="1:13" x14ac:dyDescent="0.35">
      <c r="A27" s="16" t="s">
        <v>35</v>
      </c>
      <c r="B27" s="17">
        <f t="shared" si="1"/>
        <v>234</v>
      </c>
      <c r="C27" s="17">
        <f t="shared" si="2"/>
        <v>255</v>
      </c>
      <c r="D27" s="16">
        <v>104</v>
      </c>
      <c r="E27" s="16">
        <v>64</v>
      </c>
      <c r="F27" s="16">
        <v>18</v>
      </c>
      <c r="G27" s="16">
        <v>48</v>
      </c>
      <c r="H27" s="16">
        <v>0</v>
      </c>
      <c r="I27" s="16">
        <v>113</v>
      </c>
      <c r="J27" s="16">
        <v>73</v>
      </c>
      <c r="K27" s="16">
        <v>21</v>
      </c>
      <c r="L27" s="16">
        <v>48</v>
      </c>
      <c r="M27" s="16">
        <v>0</v>
      </c>
    </row>
    <row r="28" spans="1:13" x14ac:dyDescent="0.35">
      <c r="A28" s="16" t="s">
        <v>36</v>
      </c>
      <c r="B28" s="17">
        <f t="shared" si="1"/>
        <v>16</v>
      </c>
      <c r="C28" s="17">
        <f t="shared" si="2"/>
        <v>16</v>
      </c>
      <c r="D28" s="16">
        <v>8</v>
      </c>
      <c r="E28" s="16">
        <v>8</v>
      </c>
      <c r="F28" s="16">
        <v>0</v>
      </c>
      <c r="G28" s="16">
        <v>0</v>
      </c>
      <c r="H28" s="16">
        <v>0</v>
      </c>
      <c r="I28" s="16">
        <v>8</v>
      </c>
      <c r="J28" s="16">
        <v>8</v>
      </c>
      <c r="K28" s="16">
        <v>0</v>
      </c>
      <c r="L28" s="16">
        <v>0</v>
      </c>
      <c r="M28" s="16">
        <v>0</v>
      </c>
    </row>
    <row r="29" spans="1:13" x14ac:dyDescent="0.35">
      <c r="A29" s="16" t="s">
        <v>37</v>
      </c>
      <c r="B29" s="17">
        <f t="shared" si="1"/>
        <v>150</v>
      </c>
      <c r="C29" s="17">
        <f t="shared" si="2"/>
        <v>208</v>
      </c>
      <c r="D29" s="16">
        <v>76</v>
      </c>
      <c r="E29" s="16">
        <v>53</v>
      </c>
      <c r="F29" s="16">
        <v>10</v>
      </c>
      <c r="G29" s="16">
        <v>11</v>
      </c>
      <c r="H29" s="16">
        <v>0</v>
      </c>
      <c r="I29" s="16">
        <v>102</v>
      </c>
      <c r="J29" s="16">
        <v>83</v>
      </c>
      <c r="K29" s="16">
        <v>10</v>
      </c>
      <c r="L29" s="16">
        <v>13</v>
      </c>
      <c r="M29" s="16">
        <v>0</v>
      </c>
    </row>
    <row r="30" spans="1:13" x14ac:dyDescent="0.35">
      <c r="A30" s="16" t="s">
        <v>38</v>
      </c>
      <c r="B30" s="17">
        <f t="shared" si="1"/>
        <v>24</v>
      </c>
      <c r="C30" s="17">
        <f t="shared" si="2"/>
        <v>47</v>
      </c>
      <c r="D30" s="16">
        <v>16</v>
      </c>
      <c r="E30" s="16">
        <v>3</v>
      </c>
      <c r="F30" s="16">
        <v>2</v>
      </c>
      <c r="G30" s="16">
        <v>3</v>
      </c>
      <c r="H30" s="16">
        <v>0</v>
      </c>
      <c r="I30" s="16">
        <v>30</v>
      </c>
      <c r="J30" s="16">
        <v>9</v>
      </c>
      <c r="K30" s="16">
        <v>3</v>
      </c>
      <c r="L30" s="16">
        <v>5</v>
      </c>
      <c r="M30" s="16">
        <v>0</v>
      </c>
    </row>
    <row r="31" spans="1:13" x14ac:dyDescent="0.35">
      <c r="A31" s="16" t="s">
        <v>39</v>
      </c>
      <c r="B31" s="17">
        <f t="shared" si="1"/>
        <v>36</v>
      </c>
      <c r="C31" s="17">
        <f t="shared" si="2"/>
        <v>47</v>
      </c>
      <c r="D31" s="16">
        <v>25</v>
      </c>
      <c r="E31" s="16">
        <v>9</v>
      </c>
      <c r="F31" s="16">
        <v>0</v>
      </c>
      <c r="G31" s="16">
        <v>2</v>
      </c>
      <c r="H31" s="16">
        <v>0</v>
      </c>
      <c r="I31" s="16">
        <v>36</v>
      </c>
      <c r="J31" s="16">
        <v>9</v>
      </c>
      <c r="K31" s="16">
        <v>0</v>
      </c>
      <c r="L31" s="16">
        <v>2</v>
      </c>
      <c r="M31" s="16">
        <v>0</v>
      </c>
    </row>
    <row r="32" spans="1:13" x14ac:dyDescent="0.35">
      <c r="A32" s="16" t="s">
        <v>40</v>
      </c>
      <c r="B32" s="17">
        <f t="shared" si="1"/>
        <v>47</v>
      </c>
      <c r="C32" s="17">
        <f t="shared" si="2"/>
        <v>78</v>
      </c>
      <c r="D32" s="16">
        <v>16</v>
      </c>
      <c r="E32" s="16">
        <v>13</v>
      </c>
      <c r="F32" s="16">
        <v>12</v>
      </c>
      <c r="G32" s="16">
        <v>6</v>
      </c>
      <c r="H32" s="16">
        <v>0</v>
      </c>
      <c r="I32" s="16">
        <v>25</v>
      </c>
      <c r="J32" s="16">
        <v>24</v>
      </c>
      <c r="K32" s="16">
        <v>20</v>
      </c>
      <c r="L32" s="16">
        <v>9</v>
      </c>
      <c r="M32" s="16">
        <v>0</v>
      </c>
    </row>
    <row r="33" spans="1:20" x14ac:dyDescent="0.35">
      <c r="A33" s="16" t="s">
        <v>41</v>
      </c>
      <c r="B33" s="17">
        <f t="shared" si="1"/>
        <v>10</v>
      </c>
      <c r="C33" s="17">
        <f t="shared" si="2"/>
        <v>12</v>
      </c>
      <c r="D33" s="16">
        <v>4</v>
      </c>
      <c r="E33" s="16">
        <v>5</v>
      </c>
      <c r="F33" s="16">
        <v>1</v>
      </c>
      <c r="G33" s="16">
        <v>0</v>
      </c>
      <c r="H33" s="16">
        <v>0</v>
      </c>
      <c r="I33" s="16">
        <v>4</v>
      </c>
      <c r="J33" s="16">
        <v>7</v>
      </c>
      <c r="K33" s="16">
        <v>1</v>
      </c>
      <c r="L33" s="16">
        <v>0</v>
      </c>
      <c r="M33" s="16">
        <v>0</v>
      </c>
    </row>
    <row r="34" spans="1:20" x14ac:dyDescent="0.35">
      <c r="A34" s="16" t="s">
        <v>42</v>
      </c>
      <c r="B34" s="17">
        <f t="shared" si="1"/>
        <v>20</v>
      </c>
      <c r="C34" s="17">
        <f t="shared" si="2"/>
        <v>20</v>
      </c>
      <c r="D34" s="16">
        <v>13</v>
      </c>
      <c r="E34" s="16">
        <v>4</v>
      </c>
      <c r="F34" s="16">
        <v>1</v>
      </c>
      <c r="G34" s="16">
        <v>2</v>
      </c>
      <c r="H34" s="16">
        <v>0</v>
      </c>
      <c r="I34" s="16">
        <v>13</v>
      </c>
      <c r="J34" s="16">
        <v>4</v>
      </c>
      <c r="K34" s="16">
        <v>1</v>
      </c>
      <c r="L34" s="16">
        <v>2</v>
      </c>
      <c r="M34" s="16">
        <v>0</v>
      </c>
    </row>
    <row r="35" spans="1:20" x14ac:dyDescent="0.35">
      <c r="A35" s="18">
        <v>3753</v>
      </c>
      <c r="B35" s="19">
        <f t="shared" si="1"/>
        <v>405</v>
      </c>
      <c r="C35" s="19">
        <f t="shared" si="2"/>
        <v>481</v>
      </c>
      <c r="D35" s="19">
        <f t="shared" ref="D35:M35" si="3">SUM(D36:D39)</f>
        <v>239</v>
      </c>
      <c r="E35" s="19">
        <f t="shared" si="3"/>
        <v>103</v>
      </c>
      <c r="F35" s="19">
        <f t="shared" si="3"/>
        <v>17</v>
      </c>
      <c r="G35" s="19">
        <f t="shared" si="3"/>
        <v>46</v>
      </c>
      <c r="H35" s="19">
        <f t="shared" si="3"/>
        <v>0</v>
      </c>
      <c r="I35" s="19">
        <f t="shared" si="3"/>
        <v>287</v>
      </c>
      <c r="J35" s="19">
        <f t="shared" si="3"/>
        <v>117</v>
      </c>
      <c r="K35" s="19">
        <f t="shared" si="3"/>
        <v>19</v>
      </c>
      <c r="L35" s="19">
        <f t="shared" si="3"/>
        <v>58</v>
      </c>
      <c r="M35" s="19">
        <f t="shared" si="3"/>
        <v>0</v>
      </c>
    </row>
    <row r="36" spans="1:20" x14ac:dyDescent="0.35">
      <c r="A36" s="16" t="s">
        <v>43</v>
      </c>
      <c r="B36" s="20">
        <f t="shared" si="1"/>
        <v>69</v>
      </c>
      <c r="C36" s="20">
        <f t="shared" si="2"/>
        <v>91</v>
      </c>
      <c r="D36" s="16">
        <v>34</v>
      </c>
      <c r="E36" s="16">
        <v>22</v>
      </c>
      <c r="F36" s="16">
        <v>7</v>
      </c>
      <c r="G36" s="16">
        <v>6</v>
      </c>
      <c r="H36" s="16">
        <v>0</v>
      </c>
      <c r="I36" s="16">
        <v>48</v>
      </c>
      <c r="J36" s="16">
        <v>24</v>
      </c>
      <c r="K36" s="16">
        <v>9</v>
      </c>
      <c r="L36" s="16">
        <v>10</v>
      </c>
      <c r="M36" s="16">
        <v>0</v>
      </c>
      <c r="N36" s="15"/>
      <c r="O36" s="15"/>
      <c r="P36" s="15"/>
      <c r="Q36" s="15"/>
      <c r="R36" s="15"/>
      <c r="S36" s="15"/>
      <c r="T36" s="15"/>
    </row>
    <row r="37" spans="1:20" x14ac:dyDescent="0.35">
      <c r="A37" s="16" t="s">
        <v>44</v>
      </c>
      <c r="B37" s="20">
        <f t="shared" si="1"/>
        <v>46</v>
      </c>
      <c r="C37" s="20">
        <f t="shared" si="2"/>
        <v>56</v>
      </c>
      <c r="D37" s="16">
        <v>29</v>
      </c>
      <c r="E37" s="16">
        <v>15</v>
      </c>
      <c r="F37" s="16">
        <v>0</v>
      </c>
      <c r="G37" s="16">
        <v>2</v>
      </c>
      <c r="H37" s="16">
        <v>0</v>
      </c>
      <c r="I37" s="16">
        <v>35</v>
      </c>
      <c r="J37" s="16">
        <v>19</v>
      </c>
      <c r="K37" s="16">
        <v>0</v>
      </c>
      <c r="L37" s="16">
        <v>2</v>
      </c>
      <c r="M37" s="16">
        <v>0</v>
      </c>
    </row>
    <row r="38" spans="1:20" x14ac:dyDescent="0.35">
      <c r="A38" s="16" t="s">
        <v>45</v>
      </c>
      <c r="B38" s="20">
        <f t="shared" si="1"/>
        <v>47</v>
      </c>
      <c r="C38" s="20">
        <f t="shared" si="2"/>
        <v>56</v>
      </c>
      <c r="D38" s="16">
        <v>28</v>
      </c>
      <c r="E38" s="16">
        <v>15</v>
      </c>
      <c r="F38" s="16">
        <v>0</v>
      </c>
      <c r="G38" s="16">
        <v>4</v>
      </c>
      <c r="H38" s="16">
        <v>0</v>
      </c>
      <c r="I38" s="16">
        <v>35</v>
      </c>
      <c r="J38" s="16">
        <v>17</v>
      </c>
      <c r="K38" s="16">
        <v>0</v>
      </c>
      <c r="L38" s="16">
        <v>4</v>
      </c>
      <c r="M38" s="16">
        <v>0</v>
      </c>
    </row>
    <row r="39" spans="1:20" x14ac:dyDescent="0.35">
      <c r="A39" s="16" t="s">
        <v>46</v>
      </c>
      <c r="B39" s="20">
        <f t="shared" si="1"/>
        <v>243</v>
      </c>
      <c r="C39" s="20">
        <f t="shared" si="2"/>
        <v>278</v>
      </c>
      <c r="D39" s="16">
        <v>148</v>
      </c>
      <c r="E39" s="16">
        <v>51</v>
      </c>
      <c r="F39" s="16">
        <v>10</v>
      </c>
      <c r="G39" s="16">
        <v>34</v>
      </c>
      <c r="H39" s="16">
        <v>0</v>
      </c>
      <c r="I39" s="16">
        <v>169</v>
      </c>
      <c r="J39" s="16">
        <v>57</v>
      </c>
      <c r="K39" s="16">
        <v>10</v>
      </c>
      <c r="L39" s="16">
        <v>42</v>
      </c>
      <c r="M39" s="16">
        <v>0</v>
      </c>
    </row>
    <row r="40" spans="1:20" x14ac:dyDescent="0.35">
      <c r="A40" s="21">
        <v>3754</v>
      </c>
      <c r="B40" s="22">
        <f t="shared" si="1"/>
        <v>128</v>
      </c>
      <c r="C40" s="22">
        <f t="shared" si="2"/>
        <v>134</v>
      </c>
      <c r="D40" s="22">
        <f t="shared" ref="D40:M40" si="4">SUM(D41:D43)</f>
        <v>85</v>
      </c>
      <c r="E40" s="22">
        <f t="shared" si="4"/>
        <v>18</v>
      </c>
      <c r="F40" s="22">
        <f t="shared" si="4"/>
        <v>6</v>
      </c>
      <c r="G40" s="22">
        <f t="shared" si="4"/>
        <v>19</v>
      </c>
      <c r="H40" s="22">
        <f t="shared" si="4"/>
        <v>0</v>
      </c>
      <c r="I40" s="22">
        <f t="shared" si="4"/>
        <v>89</v>
      </c>
      <c r="J40" s="22">
        <f t="shared" si="4"/>
        <v>18</v>
      </c>
      <c r="K40" s="22">
        <f t="shared" si="4"/>
        <v>8</v>
      </c>
      <c r="L40" s="22">
        <f t="shared" si="4"/>
        <v>19</v>
      </c>
      <c r="M40" s="22">
        <f t="shared" si="4"/>
        <v>0</v>
      </c>
    </row>
    <row r="41" spans="1:20" x14ac:dyDescent="0.35">
      <c r="A41" s="16" t="s">
        <v>47</v>
      </c>
      <c r="B41" s="20">
        <f t="shared" si="1"/>
        <v>24</v>
      </c>
      <c r="C41" s="20">
        <f t="shared" si="2"/>
        <v>24</v>
      </c>
      <c r="D41" s="16">
        <v>14</v>
      </c>
      <c r="E41" s="16">
        <v>5</v>
      </c>
      <c r="F41" s="16">
        <v>3</v>
      </c>
      <c r="G41" s="16">
        <v>2</v>
      </c>
      <c r="H41" s="16">
        <v>0</v>
      </c>
      <c r="I41" s="16">
        <v>14</v>
      </c>
      <c r="J41" s="16">
        <v>5</v>
      </c>
      <c r="K41" s="16">
        <v>3</v>
      </c>
      <c r="L41" s="16">
        <v>2</v>
      </c>
      <c r="M41" s="16">
        <v>0</v>
      </c>
      <c r="N41" s="15"/>
      <c r="O41" s="15"/>
      <c r="P41" s="15"/>
      <c r="Q41" s="15"/>
      <c r="R41" s="15"/>
      <c r="S41" s="15"/>
      <c r="T41" s="15"/>
    </row>
    <row r="42" spans="1:20" x14ac:dyDescent="0.35">
      <c r="A42" s="16" t="s">
        <v>48</v>
      </c>
      <c r="B42" s="20">
        <f t="shared" si="1"/>
        <v>69</v>
      </c>
      <c r="C42" s="20">
        <f t="shared" si="2"/>
        <v>71</v>
      </c>
      <c r="D42" s="16">
        <v>48</v>
      </c>
      <c r="E42" s="16">
        <v>9</v>
      </c>
      <c r="F42" s="16">
        <v>1</v>
      </c>
      <c r="G42" s="16">
        <v>11</v>
      </c>
      <c r="H42" s="16">
        <v>0</v>
      </c>
      <c r="I42" s="16">
        <v>50</v>
      </c>
      <c r="J42" s="16">
        <v>9</v>
      </c>
      <c r="K42" s="16">
        <v>1</v>
      </c>
      <c r="L42" s="16">
        <v>11</v>
      </c>
      <c r="M42" s="16">
        <v>0</v>
      </c>
    </row>
    <row r="43" spans="1:20" x14ac:dyDescent="0.35">
      <c r="A43" s="16" t="s">
        <v>49</v>
      </c>
      <c r="B43" s="20">
        <f t="shared" si="1"/>
        <v>35</v>
      </c>
      <c r="C43" s="20">
        <f t="shared" si="2"/>
        <v>39</v>
      </c>
      <c r="D43" s="16">
        <v>23</v>
      </c>
      <c r="E43" s="16">
        <v>4</v>
      </c>
      <c r="F43" s="16">
        <v>2</v>
      </c>
      <c r="G43" s="16">
        <v>6</v>
      </c>
      <c r="H43" s="16">
        <v>0</v>
      </c>
      <c r="I43" s="16">
        <v>25</v>
      </c>
      <c r="J43" s="16">
        <v>4</v>
      </c>
      <c r="K43" s="16">
        <v>4</v>
      </c>
      <c r="L43" s="16">
        <v>6</v>
      </c>
      <c r="M43" s="16">
        <v>0</v>
      </c>
    </row>
    <row r="44" spans="1:20" x14ac:dyDescent="0.35">
      <c r="A44" s="23" t="s">
        <v>50</v>
      </c>
      <c r="B44" s="23">
        <f t="shared" ref="B44:M44" si="5">B4+B35+B40</f>
        <v>3611</v>
      </c>
      <c r="C44" s="23">
        <f t="shared" si="5"/>
        <v>4880</v>
      </c>
      <c r="D44" s="23">
        <f t="shared" si="5"/>
        <v>2090</v>
      </c>
      <c r="E44" s="23">
        <f t="shared" si="5"/>
        <v>890</v>
      </c>
      <c r="F44" s="23">
        <f t="shared" si="5"/>
        <v>206</v>
      </c>
      <c r="G44" s="23">
        <f t="shared" si="5"/>
        <v>405</v>
      </c>
      <c r="H44" s="23">
        <f t="shared" si="5"/>
        <v>0</v>
      </c>
      <c r="I44" s="23">
        <f t="shared" si="5"/>
        <v>2743</v>
      </c>
      <c r="J44" s="23">
        <f t="shared" si="5"/>
        <v>1326</v>
      </c>
      <c r="K44" s="23">
        <f t="shared" si="5"/>
        <v>299</v>
      </c>
      <c r="L44" s="23">
        <f t="shared" si="5"/>
        <v>492</v>
      </c>
      <c r="M44" s="23">
        <f t="shared" si="5"/>
        <v>0</v>
      </c>
    </row>
    <row r="46" spans="1:20" ht="20" x14ac:dyDescent="0.35">
      <c r="A46" s="3" t="s">
        <v>51</v>
      </c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20" x14ac:dyDescent="0.35">
      <c r="A47" s="2" t="s">
        <v>52</v>
      </c>
      <c r="B47" s="25" t="s">
        <v>8</v>
      </c>
      <c r="C47" s="25"/>
      <c r="D47" s="25" t="s">
        <v>9</v>
      </c>
      <c r="E47" s="25"/>
      <c r="F47" s="25" t="s">
        <v>10</v>
      </c>
      <c r="G47" s="25"/>
      <c r="H47" s="25" t="s">
        <v>11</v>
      </c>
      <c r="I47" s="25"/>
      <c r="J47" s="25" t="s">
        <v>53</v>
      </c>
      <c r="K47" s="25" t="s">
        <v>54</v>
      </c>
    </row>
    <row r="48" spans="1:20" x14ac:dyDescent="0.35">
      <c r="A48" s="2"/>
      <c r="B48" s="25" t="s">
        <v>55</v>
      </c>
      <c r="C48" s="25" t="s">
        <v>7</v>
      </c>
      <c r="D48" s="25" t="s">
        <v>55</v>
      </c>
      <c r="E48" s="25" t="s">
        <v>7</v>
      </c>
      <c r="F48" s="25" t="s">
        <v>55</v>
      </c>
      <c r="G48" s="25" t="s">
        <v>7</v>
      </c>
      <c r="H48" s="25" t="s">
        <v>55</v>
      </c>
      <c r="I48" s="25" t="s">
        <v>7</v>
      </c>
      <c r="J48" s="25" t="s">
        <v>53</v>
      </c>
      <c r="K48" s="25" t="s">
        <v>56</v>
      </c>
    </row>
    <row r="49" spans="1:11" x14ac:dyDescent="0.35">
      <c r="A49" s="26" t="s">
        <v>57</v>
      </c>
      <c r="B49" s="26">
        <v>1824</v>
      </c>
      <c r="C49" s="26">
        <v>2638</v>
      </c>
      <c r="D49" s="26">
        <v>756</v>
      </c>
      <c r="E49" s="26">
        <v>1300</v>
      </c>
      <c r="F49" s="26">
        <v>180</v>
      </c>
      <c r="G49" s="26">
        <v>291</v>
      </c>
      <c r="H49" s="26">
        <v>368</v>
      </c>
      <c r="I49" s="26">
        <v>481</v>
      </c>
      <c r="J49" s="26">
        <v>3128</v>
      </c>
      <c r="K49" s="26">
        <v>4710</v>
      </c>
    </row>
    <row r="50" spans="1:11" x14ac:dyDescent="0.35">
      <c r="A50" s="26" t="s">
        <v>58</v>
      </c>
      <c r="B50" s="26">
        <v>84</v>
      </c>
      <c r="C50" s="26">
        <v>118</v>
      </c>
      <c r="D50" s="26">
        <v>24</v>
      </c>
      <c r="E50" s="26">
        <v>33</v>
      </c>
      <c r="F50" s="26">
        <v>3</v>
      </c>
      <c r="G50" s="26">
        <v>6</v>
      </c>
      <c r="H50" s="26">
        <v>9</v>
      </c>
      <c r="I50" s="26">
        <v>13</v>
      </c>
      <c r="J50" s="26">
        <v>120</v>
      </c>
      <c r="K50" s="26">
        <v>170</v>
      </c>
    </row>
    <row r="51" spans="1:11" x14ac:dyDescent="0.35">
      <c r="A51" s="27" t="s">
        <v>59</v>
      </c>
      <c r="B51" s="28">
        <f t="shared" ref="B51:K51" si="6">SUM(B49:B50)</f>
        <v>1908</v>
      </c>
      <c r="C51" s="28">
        <f t="shared" si="6"/>
        <v>2756</v>
      </c>
      <c r="D51" s="28">
        <f t="shared" si="6"/>
        <v>780</v>
      </c>
      <c r="E51" s="28">
        <f t="shared" si="6"/>
        <v>1333</v>
      </c>
      <c r="F51" s="28">
        <f t="shared" si="6"/>
        <v>183</v>
      </c>
      <c r="G51" s="28">
        <f t="shared" si="6"/>
        <v>297</v>
      </c>
      <c r="H51" s="28">
        <f t="shared" si="6"/>
        <v>377</v>
      </c>
      <c r="I51" s="28">
        <f t="shared" si="6"/>
        <v>494</v>
      </c>
      <c r="J51" s="28">
        <f t="shared" si="6"/>
        <v>3248</v>
      </c>
      <c r="K51" s="28">
        <f t="shared" si="6"/>
        <v>4880</v>
      </c>
    </row>
  </sheetData>
  <mergeCells count="6">
    <mergeCell ref="A47:A48"/>
    <mergeCell ref="A1:L1"/>
    <mergeCell ref="B2:C2"/>
    <mergeCell ref="D2:H2"/>
    <mergeCell ref="I2:L2"/>
    <mergeCell ref="A46:K46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8"/>
  <sheetViews>
    <sheetView zoomScale="80" zoomScaleNormal="80" workbookViewId="0">
      <pane ySplit="3" topLeftCell="A46" activePane="bottomLeft" state="frozen"/>
      <selection pane="bottomLeft" activeCell="E59" sqref="E59"/>
    </sheetView>
  </sheetViews>
  <sheetFormatPr baseColWidth="10" defaultColWidth="15.1796875" defaultRowHeight="14.5" x14ac:dyDescent="0.35"/>
  <cols>
    <col min="1" max="1" width="47.08984375" customWidth="1"/>
    <col min="2" max="2" width="12.81640625" customWidth="1"/>
    <col min="3" max="3" width="6.54296875" customWidth="1"/>
    <col min="4" max="4" width="12.26953125" customWidth="1"/>
    <col min="5" max="5" width="10.26953125" customWidth="1"/>
    <col min="6" max="6" width="11" customWidth="1"/>
    <col min="7" max="7" width="8.453125" customWidth="1"/>
    <col min="8" max="8" width="6.90625" customWidth="1"/>
    <col min="9" max="9" width="7.08984375" customWidth="1"/>
    <col min="10" max="10" width="8" customWidth="1"/>
    <col min="11" max="11" width="8.453125" customWidth="1"/>
    <col min="12" max="12" width="12.453125" customWidth="1"/>
  </cols>
  <sheetData>
    <row r="1" spans="1:20" ht="26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/>
    </row>
    <row r="2" spans="1:20" ht="29.9" customHeight="1" x14ac:dyDescent="0.35">
      <c r="A2" s="8" t="s">
        <v>1</v>
      </c>
      <c r="B2" s="5" t="s">
        <v>60</v>
      </c>
      <c r="C2" s="5"/>
      <c r="D2" s="4" t="s">
        <v>3</v>
      </c>
      <c r="E2" s="4"/>
      <c r="F2" s="4"/>
      <c r="G2" s="4"/>
      <c r="H2" s="4"/>
      <c r="I2" s="4" t="s">
        <v>4</v>
      </c>
      <c r="J2" s="4"/>
      <c r="K2" s="4"/>
      <c r="L2" s="4"/>
      <c r="M2" s="9"/>
    </row>
    <row r="3" spans="1:20" x14ac:dyDescent="0.35">
      <c r="A3" s="10" t="s">
        <v>5</v>
      </c>
      <c r="B3" s="11" t="s">
        <v>6</v>
      </c>
      <c r="C3" s="12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13" t="s">
        <v>12</v>
      </c>
      <c r="I3" s="13" t="s">
        <v>8</v>
      </c>
      <c r="J3" s="13" t="s">
        <v>9</v>
      </c>
      <c r="K3" s="13" t="s">
        <v>10</v>
      </c>
      <c r="L3" s="13" t="s">
        <v>11</v>
      </c>
      <c r="M3" s="13" t="s">
        <v>12</v>
      </c>
    </row>
    <row r="4" spans="1:20" x14ac:dyDescent="0.35">
      <c r="A4" s="14">
        <v>3734</v>
      </c>
      <c r="B4" s="14">
        <f>SUM(B5:B40)</f>
        <v>4077</v>
      </c>
      <c r="C4" s="14">
        <f>SUM(C5:C40)</f>
        <v>8301</v>
      </c>
      <c r="D4" s="14">
        <f t="shared" ref="D4:M4" si="0">SUM(D5:D33)</f>
        <v>2110</v>
      </c>
      <c r="E4" s="14">
        <f t="shared" si="0"/>
        <v>903</v>
      </c>
      <c r="F4" s="14">
        <f t="shared" si="0"/>
        <v>194</v>
      </c>
      <c r="G4" s="14">
        <f t="shared" si="0"/>
        <v>437</v>
      </c>
      <c r="H4" s="14">
        <f t="shared" si="0"/>
        <v>1</v>
      </c>
      <c r="I4" s="14">
        <f t="shared" si="0"/>
        <v>4174</v>
      </c>
      <c r="J4" s="14">
        <f t="shared" si="0"/>
        <v>2119</v>
      </c>
      <c r="K4" s="14">
        <f t="shared" si="0"/>
        <v>444</v>
      </c>
      <c r="L4" s="14">
        <f t="shared" si="0"/>
        <v>705</v>
      </c>
      <c r="M4" s="14">
        <f t="shared" si="0"/>
        <v>1</v>
      </c>
      <c r="N4" s="15"/>
      <c r="O4" s="15"/>
      <c r="P4" s="15"/>
      <c r="Q4" s="15"/>
      <c r="R4" s="15"/>
      <c r="S4" s="15"/>
      <c r="T4" s="15"/>
    </row>
    <row r="5" spans="1:20" x14ac:dyDescent="0.35">
      <c r="A5" s="16" t="s">
        <v>13</v>
      </c>
      <c r="B5" s="17">
        <f t="shared" ref="B5:B49" si="1">SUM(D5:H5)</f>
        <v>13</v>
      </c>
      <c r="C5" s="17">
        <f t="shared" ref="C5:C49" si="2">SUM(I5:M5)</f>
        <v>27</v>
      </c>
      <c r="D5" s="16">
        <v>6</v>
      </c>
      <c r="E5" s="16">
        <v>5</v>
      </c>
      <c r="F5" s="16">
        <v>0</v>
      </c>
      <c r="G5" s="16">
        <v>2</v>
      </c>
      <c r="H5" s="16">
        <v>0</v>
      </c>
      <c r="I5" s="16">
        <v>15</v>
      </c>
      <c r="J5" s="16">
        <v>9</v>
      </c>
      <c r="K5" s="16">
        <v>0</v>
      </c>
      <c r="L5" s="16">
        <v>3</v>
      </c>
      <c r="M5" s="16">
        <v>0</v>
      </c>
    </row>
    <row r="6" spans="1:20" x14ac:dyDescent="0.35">
      <c r="A6" s="16" t="s">
        <v>14</v>
      </c>
      <c r="B6" s="17">
        <f t="shared" si="1"/>
        <v>106</v>
      </c>
      <c r="C6" s="17">
        <f t="shared" si="2"/>
        <v>115</v>
      </c>
      <c r="D6" s="16">
        <v>48</v>
      </c>
      <c r="E6" s="16">
        <v>31</v>
      </c>
      <c r="F6" s="16">
        <v>11</v>
      </c>
      <c r="G6" s="16">
        <v>16</v>
      </c>
      <c r="H6" s="16">
        <v>0</v>
      </c>
      <c r="I6" s="16">
        <v>50</v>
      </c>
      <c r="J6" s="16">
        <v>36</v>
      </c>
      <c r="K6" s="16">
        <v>11</v>
      </c>
      <c r="L6" s="16">
        <v>18</v>
      </c>
      <c r="M6" s="16">
        <v>0</v>
      </c>
    </row>
    <row r="7" spans="1:20" x14ac:dyDescent="0.35">
      <c r="A7" s="16" t="s">
        <v>15</v>
      </c>
      <c r="B7" s="17">
        <f t="shared" si="1"/>
        <v>21</v>
      </c>
      <c r="C7" s="17">
        <f t="shared" si="2"/>
        <v>42</v>
      </c>
      <c r="D7" s="16">
        <v>13</v>
      </c>
      <c r="E7" s="16">
        <v>7</v>
      </c>
      <c r="F7" s="16">
        <v>0</v>
      </c>
      <c r="G7" s="16">
        <v>1</v>
      </c>
      <c r="H7" s="16">
        <v>0</v>
      </c>
      <c r="I7" s="16">
        <v>22</v>
      </c>
      <c r="J7" s="16">
        <v>19</v>
      </c>
      <c r="K7" s="16">
        <v>0</v>
      </c>
      <c r="L7" s="16">
        <v>1</v>
      </c>
      <c r="M7" s="16">
        <v>0</v>
      </c>
    </row>
    <row r="8" spans="1:20" x14ac:dyDescent="0.35">
      <c r="A8" s="16" t="s">
        <v>16</v>
      </c>
      <c r="B8" s="17">
        <f t="shared" si="1"/>
        <v>150</v>
      </c>
      <c r="C8" s="17">
        <f t="shared" si="2"/>
        <v>448</v>
      </c>
      <c r="D8" s="16">
        <v>74</v>
      </c>
      <c r="E8" s="16">
        <v>44</v>
      </c>
      <c r="F8" s="16">
        <v>12</v>
      </c>
      <c r="G8" s="16">
        <v>20</v>
      </c>
      <c r="H8" s="16">
        <v>0</v>
      </c>
      <c r="I8" s="16">
        <v>208</v>
      </c>
      <c r="J8" s="16">
        <v>167</v>
      </c>
      <c r="K8" s="16">
        <v>41</v>
      </c>
      <c r="L8" s="16">
        <v>32</v>
      </c>
      <c r="M8" s="16">
        <v>0</v>
      </c>
    </row>
    <row r="9" spans="1:20" x14ac:dyDescent="0.35">
      <c r="A9" s="16" t="s">
        <v>18</v>
      </c>
      <c r="B9" s="17">
        <f t="shared" si="1"/>
        <v>709</v>
      </c>
      <c r="C9" s="17">
        <f t="shared" si="2"/>
        <v>1514</v>
      </c>
      <c r="D9" s="16">
        <v>406</v>
      </c>
      <c r="E9" s="16">
        <v>171</v>
      </c>
      <c r="F9" s="16">
        <v>29</v>
      </c>
      <c r="G9" s="16">
        <v>103</v>
      </c>
      <c r="H9" s="16">
        <v>0</v>
      </c>
      <c r="I9" s="16">
        <v>831</v>
      </c>
      <c r="J9" s="16">
        <v>441</v>
      </c>
      <c r="K9" s="16">
        <v>73</v>
      </c>
      <c r="L9" s="16">
        <v>169</v>
      </c>
      <c r="M9" s="16">
        <v>0</v>
      </c>
    </row>
    <row r="10" spans="1:20" x14ac:dyDescent="0.35">
      <c r="A10" s="16" t="s">
        <v>19</v>
      </c>
      <c r="B10" s="17">
        <f t="shared" si="1"/>
        <v>13</v>
      </c>
      <c r="C10" s="17">
        <f t="shared" si="2"/>
        <v>14</v>
      </c>
      <c r="D10" s="16">
        <v>4</v>
      </c>
      <c r="E10" s="16">
        <v>2</v>
      </c>
      <c r="F10" s="16">
        <v>1</v>
      </c>
      <c r="G10" s="16">
        <v>6</v>
      </c>
      <c r="H10" s="16">
        <v>0</v>
      </c>
      <c r="I10" s="16">
        <v>4</v>
      </c>
      <c r="J10" s="16">
        <v>2</v>
      </c>
      <c r="K10" s="16">
        <v>2</v>
      </c>
      <c r="L10" s="16">
        <v>6</v>
      </c>
      <c r="M10" s="16">
        <v>0</v>
      </c>
    </row>
    <row r="11" spans="1:20" x14ac:dyDescent="0.35">
      <c r="A11" s="16" t="s">
        <v>20</v>
      </c>
      <c r="B11" s="17">
        <f t="shared" si="1"/>
        <v>42</v>
      </c>
      <c r="C11" s="17">
        <f t="shared" si="2"/>
        <v>94</v>
      </c>
      <c r="D11" s="16">
        <v>19</v>
      </c>
      <c r="E11" s="16">
        <v>13</v>
      </c>
      <c r="F11" s="16">
        <v>1</v>
      </c>
      <c r="G11" s="16">
        <v>9</v>
      </c>
      <c r="H11" s="16">
        <v>0</v>
      </c>
      <c r="I11" s="16">
        <v>36</v>
      </c>
      <c r="J11" s="16">
        <v>35</v>
      </c>
      <c r="K11" s="16">
        <v>3</v>
      </c>
      <c r="L11" s="16">
        <v>20</v>
      </c>
      <c r="M11" s="16">
        <v>0</v>
      </c>
    </row>
    <row r="12" spans="1:20" x14ac:dyDescent="0.35">
      <c r="A12" s="16" t="s">
        <v>61</v>
      </c>
      <c r="B12" s="17">
        <f t="shared" si="1"/>
        <v>1</v>
      </c>
      <c r="C12" s="17">
        <f t="shared" si="2"/>
        <v>1</v>
      </c>
      <c r="D12" s="16">
        <v>1</v>
      </c>
      <c r="E12" s="16">
        <v>0</v>
      </c>
      <c r="F12" s="16">
        <v>0</v>
      </c>
      <c r="G12" s="16">
        <v>0</v>
      </c>
      <c r="H12" s="16">
        <v>0</v>
      </c>
      <c r="I12" s="16">
        <v>1</v>
      </c>
      <c r="J12" s="16">
        <v>0</v>
      </c>
      <c r="K12" s="16">
        <v>0</v>
      </c>
      <c r="L12" s="16">
        <v>0</v>
      </c>
      <c r="M12" s="16">
        <v>0</v>
      </c>
    </row>
    <row r="13" spans="1:20" x14ac:dyDescent="0.35">
      <c r="A13" s="16" t="s">
        <v>21</v>
      </c>
      <c r="B13" s="17">
        <f t="shared" si="1"/>
        <v>384</v>
      </c>
      <c r="C13" s="17">
        <f t="shared" si="2"/>
        <v>852</v>
      </c>
      <c r="D13" s="16">
        <v>233</v>
      </c>
      <c r="E13" s="16">
        <v>96</v>
      </c>
      <c r="F13" s="16">
        <v>19</v>
      </c>
      <c r="G13" s="16">
        <v>36</v>
      </c>
      <c r="H13" s="16">
        <v>0</v>
      </c>
      <c r="I13" s="16">
        <v>482</v>
      </c>
      <c r="J13" s="16">
        <v>258</v>
      </c>
      <c r="K13" s="16">
        <v>40</v>
      </c>
      <c r="L13" s="16">
        <v>72</v>
      </c>
      <c r="M13" s="16">
        <v>0</v>
      </c>
    </row>
    <row r="14" spans="1:20" x14ac:dyDescent="0.35">
      <c r="A14" s="16" t="s">
        <v>62</v>
      </c>
      <c r="B14" s="17">
        <f t="shared" si="1"/>
        <v>1</v>
      </c>
      <c r="C14" s="17">
        <f t="shared" si="2"/>
        <v>1</v>
      </c>
      <c r="D14" s="16">
        <v>1</v>
      </c>
      <c r="E14" s="16">
        <v>0</v>
      </c>
      <c r="F14" s="16">
        <v>0</v>
      </c>
      <c r="G14" s="16">
        <v>0</v>
      </c>
      <c r="H14" s="16">
        <v>0</v>
      </c>
      <c r="I14" s="16">
        <v>1</v>
      </c>
      <c r="J14" s="16">
        <v>0</v>
      </c>
      <c r="K14" s="16">
        <v>0</v>
      </c>
      <c r="L14" s="16">
        <v>0</v>
      </c>
      <c r="M14" s="16">
        <v>0</v>
      </c>
    </row>
    <row r="15" spans="1:20" x14ac:dyDescent="0.35">
      <c r="A15" s="16" t="s">
        <v>63</v>
      </c>
      <c r="B15" s="17">
        <f t="shared" si="1"/>
        <v>1</v>
      </c>
      <c r="C15" s="17">
        <f t="shared" si="2"/>
        <v>1</v>
      </c>
      <c r="D15" s="16">
        <v>1</v>
      </c>
      <c r="E15" s="16">
        <v>0</v>
      </c>
      <c r="F15" s="16">
        <v>0</v>
      </c>
      <c r="G15" s="16">
        <v>0</v>
      </c>
      <c r="H15" s="16">
        <v>0</v>
      </c>
      <c r="I15" s="16">
        <v>1</v>
      </c>
      <c r="J15" s="16">
        <v>0</v>
      </c>
      <c r="K15" s="16">
        <v>0</v>
      </c>
      <c r="L15" s="16">
        <v>0</v>
      </c>
      <c r="M15" s="16">
        <v>0</v>
      </c>
    </row>
    <row r="16" spans="1:20" x14ac:dyDescent="0.35">
      <c r="A16" s="16" t="s">
        <v>22</v>
      </c>
      <c r="B16" s="17">
        <f t="shared" si="1"/>
        <v>184</v>
      </c>
      <c r="C16" s="17">
        <f t="shared" si="2"/>
        <v>352</v>
      </c>
      <c r="D16" s="16">
        <v>112</v>
      </c>
      <c r="E16" s="16">
        <v>42</v>
      </c>
      <c r="F16" s="16">
        <v>9</v>
      </c>
      <c r="G16" s="16">
        <v>21</v>
      </c>
      <c r="H16" s="16">
        <v>0</v>
      </c>
      <c r="I16" s="16">
        <v>200</v>
      </c>
      <c r="J16" s="16">
        <v>97</v>
      </c>
      <c r="K16" s="16">
        <v>22</v>
      </c>
      <c r="L16" s="16">
        <v>33</v>
      </c>
      <c r="M16" s="16">
        <v>0</v>
      </c>
    </row>
    <row r="17" spans="1:13" x14ac:dyDescent="0.35">
      <c r="A17" s="16" t="s">
        <v>23</v>
      </c>
      <c r="B17" s="17">
        <f t="shared" si="1"/>
        <v>70</v>
      </c>
      <c r="C17" s="17">
        <f t="shared" si="2"/>
        <v>211</v>
      </c>
      <c r="D17" s="16">
        <v>36</v>
      </c>
      <c r="E17" s="16">
        <v>25</v>
      </c>
      <c r="F17" s="16">
        <v>6</v>
      </c>
      <c r="G17" s="16">
        <v>3</v>
      </c>
      <c r="H17" s="16">
        <v>0</v>
      </c>
      <c r="I17" s="16">
        <v>105</v>
      </c>
      <c r="J17" s="16">
        <v>85</v>
      </c>
      <c r="K17" s="16">
        <v>11</v>
      </c>
      <c r="L17" s="16">
        <v>10</v>
      </c>
      <c r="M17" s="16">
        <v>0</v>
      </c>
    </row>
    <row r="18" spans="1:13" x14ac:dyDescent="0.35">
      <c r="A18" s="16" t="s">
        <v>64</v>
      </c>
      <c r="B18" s="17">
        <f t="shared" si="1"/>
        <v>1</v>
      </c>
      <c r="C18" s="17">
        <f t="shared" si="2"/>
        <v>1</v>
      </c>
      <c r="D18" s="16">
        <v>0</v>
      </c>
      <c r="E18" s="16">
        <v>0</v>
      </c>
      <c r="F18" s="16">
        <v>0</v>
      </c>
      <c r="G18" s="16">
        <v>1</v>
      </c>
      <c r="H18" s="16">
        <v>0</v>
      </c>
      <c r="I18" s="16">
        <v>0</v>
      </c>
      <c r="J18" s="16">
        <v>0</v>
      </c>
      <c r="K18" s="16">
        <v>0</v>
      </c>
      <c r="L18" s="16">
        <v>1</v>
      </c>
      <c r="M18" s="16">
        <v>0</v>
      </c>
    </row>
    <row r="19" spans="1:13" x14ac:dyDescent="0.35">
      <c r="A19" s="16" t="s">
        <v>24</v>
      </c>
      <c r="B19" s="17">
        <f t="shared" si="1"/>
        <v>39</v>
      </c>
      <c r="C19" s="17">
        <f t="shared" si="2"/>
        <v>171</v>
      </c>
      <c r="D19" s="16">
        <v>12</v>
      </c>
      <c r="E19" s="16">
        <v>19</v>
      </c>
      <c r="F19" s="16">
        <v>7</v>
      </c>
      <c r="G19" s="16">
        <v>1</v>
      </c>
      <c r="H19" s="16">
        <v>0</v>
      </c>
      <c r="I19" s="16">
        <v>55</v>
      </c>
      <c r="J19" s="16">
        <v>87</v>
      </c>
      <c r="K19" s="16">
        <v>28</v>
      </c>
      <c r="L19" s="16">
        <v>1</v>
      </c>
      <c r="M19" s="16">
        <v>0</v>
      </c>
    </row>
    <row r="20" spans="1:13" x14ac:dyDescent="0.35">
      <c r="A20" s="16" t="s">
        <v>25</v>
      </c>
      <c r="B20" s="17">
        <f t="shared" si="1"/>
        <v>199</v>
      </c>
      <c r="C20" s="17">
        <f t="shared" si="2"/>
        <v>376</v>
      </c>
      <c r="D20" s="16">
        <v>121</v>
      </c>
      <c r="E20" s="16">
        <v>38</v>
      </c>
      <c r="F20" s="16">
        <v>7</v>
      </c>
      <c r="G20" s="16">
        <v>33</v>
      </c>
      <c r="H20" s="16">
        <v>0</v>
      </c>
      <c r="I20" s="16">
        <v>237</v>
      </c>
      <c r="J20" s="16">
        <v>74</v>
      </c>
      <c r="K20" s="16">
        <v>15</v>
      </c>
      <c r="L20" s="16">
        <v>50</v>
      </c>
      <c r="M20" s="16">
        <v>0</v>
      </c>
    </row>
    <row r="21" spans="1:13" x14ac:dyDescent="0.35">
      <c r="A21" s="16" t="s">
        <v>26</v>
      </c>
      <c r="B21" s="17">
        <f t="shared" si="1"/>
        <v>5</v>
      </c>
      <c r="C21" s="17">
        <f t="shared" si="2"/>
        <v>5</v>
      </c>
      <c r="D21" s="16">
        <v>1</v>
      </c>
      <c r="E21" s="16">
        <v>0</v>
      </c>
      <c r="F21" s="16">
        <v>1</v>
      </c>
      <c r="G21" s="16">
        <v>3</v>
      </c>
      <c r="H21" s="16">
        <v>0</v>
      </c>
      <c r="I21" s="16">
        <v>1</v>
      </c>
      <c r="J21" s="16">
        <v>0</v>
      </c>
      <c r="K21" s="16">
        <v>1</v>
      </c>
      <c r="L21" s="16">
        <v>3</v>
      </c>
      <c r="M21" s="16">
        <v>0</v>
      </c>
    </row>
    <row r="22" spans="1:13" x14ac:dyDescent="0.35">
      <c r="A22" s="16" t="s">
        <v>27</v>
      </c>
      <c r="B22" s="17">
        <f t="shared" si="1"/>
        <v>67</v>
      </c>
      <c r="C22" s="17">
        <f t="shared" si="2"/>
        <v>115</v>
      </c>
      <c r="D22" s="16">
        <v>32</v>
      </c>
      <c r="E22" s="16">
        <v>17</v>
      </c>
      <c r="F22" s="16">
        <v>4</v>
      </c>
      <c r="G22" s="16">
        <v>14</v>
      </c>
      <c r="H22" s="16">
        <v>0</v>
      </c>
      <c r="I22" s="16">
        <v>54</v>
      </c>
      <c r="J22" s="16">
        <v>33</v>
      </c>
      <c r="K22" s="16">
        <v>8</v>
      </c>
      <c r="L22" s="16">
        <v>20</v>
      </c>
      <c r="M22" s="16">
        <v>0</v>
      </c>
    </row>
    <row r="23" spans="1:13" x14ac:dyDescent="0.35">
      <c r="A23" s="16" t="s">
        <v>28</v>
      </c>
      <c r="B23" s="17">
        <f t="shared" si="1"/>
        <v>104</v>
      </c>
      <c r="C23" s="17">
        <f t="shared" si="2"/>
        <v>175</v>
      </c>
      <c r="D23" s="16">
        <v>68</v>
      </c>
      <c r="E23" s="16">
        <v>20</v>
      </c>
      <c r="F23" s="16">
        <v>6</v>
      </c>
      <c r="G23" s="16">
        <v>10</v>
      </c>
      <c r="H23" s="16">
        <v>0</v>
      </c>
      <c r="I23" s="16">
        <v>114</v>
      </c>
      <c r="J23" s="16">
        <v>34</v>
      </c>
      <c r="K23" s="16">
        <v>10</v>
      </c>
      <c r="L23" s="16">
        <v>17</v>
      </c>
      <c r="M23" s="16">
        <v>0</v>
      </c>
    </row>
    <row r="24" spans="1:13" x14ac:dyDescent="0.35">
      <c r="A24" s="16" t="s">
        <v>29</v>
      </c>
      <c r="B24" s="17">
        <f t="shared" si="1"/>
        <v>98</v>
      </c>
      <c r="C24" s="17">
        <f t="shared" si="2"/>
        <v>128</v>
      </c>
      <c r="D24" s="16">
        <v>71</v>
      </c>
      <c r="E24" s="16">
        <v>23</v>
      </c>
      <c r="F24" s="16">
        <v>0</v>
      </c>
      <c r="G24" s="16">
        <v>4</v>
      </c>
      <c r="H24" s="16">
        <v>0</v>
      </c>
      <c r="I24" s="16">
        <v>94</v>
      </c>
      <c r="J24" s="16">
        <v>29</v>
      </c>
      <c r="K24" s="16">
        <v>0</v>
      </c>
      <c r="L24" s="16">
        <v>5</v>
      </c>
      <c r="M24" s="16">
        <v>0</v>
      </c>
    </row>
    <row r="25" spans="1:13" x14ac:dyDescent="0.35">
      <c r="A25" s="16" t="s">
        <v>30</v>
      </c>
      <c r="B25" s="17">
        <f t="shared" si="1"/>
        <v>82</v>
      </c>
      <c r="C25" s="17">
        <f t="shared" si="2"/>
        <v>125</v>
      </c>
      <c r="D25" s="16">
        <v>57</v>
      </c>
      <c r="E25" s="16">
        <v>21</v>
      </c>
      <c r="F25" s="16">
        <v>1</v>
      </c>
      <c r="G25" s="16">
        <v>3</v>
      </c>
      <c r="H25" s="16">
        <v>0</v>
      </c>
      <c r="I25" s="16">
        <v>90</v>
      </c>
      <c r="J25" s="16">
        <v>30</v>
      </c>
      <c r="K25" s="16">
        <v>1</v>
      </c>
      <c r="L25" s="16">
        <v>4</v>
      </c>
      <c r="M25" s="16">
        <v>0</v>
      </c>
    </row>
    <row r="26" spans="1:13" x14ac:dyDescent="0.35">
      <c r="A26" s="16" t="s">
        <v>65</v>
      </c>
      <c r="B26" s="17">
        <f t="shared" si="1"/>
        <v>1</v>
      </c>
      <c r="C26" s="17">
        <f t="shared" si="2"/>
        <v>1</v>
      </c>
      <c r="D26" s="16">
        <v>0</v>
      </c>
      <c r="E26" s="16">
        <v>0</v>
      </c>
      <c r="F26" s="16">
        <v>0</v>
      </c>
      <c r="G26" s="16">
        <v>0</v>
      </c>
      <c r="H26" s="16">
        <v>1</v>
      </c>
      <c r="I26" s="16">
        <v>0</v>
      </c>
      <c r="J26" s="16">
        <v>0</v>
      </c>
      <c r="K26" s="16">
        <v>0</v>
      </c>
      <c r="L26" s="16">
        <v>0</v>
      </c>
      <c r="M26" s="16">
        <v>1</v>
      </c>
    </row>
    <row r="27" spans="1:13" x14ac:dyDescent="0.35">
      <c r="A27" s="16" t="s">
        <v>66</v>
      </c>
      <c r="B27" s="17">
        <f t="shared" si="1"/>
        <v>1</v>
      </c>
      <c r="C27" s="17">
        <f t="shared" si="2"/>
        <v>1</v>
      </c>
      <c r="D27" s="16">
        <v>0</v>
      </c>
      <c r="E27" s="16">
        <v>0</v>
      </c>
      <c r="F27" s="16">
        <v>0</v>
      </c>
      <c r="G27" s="16">
        <v>1</v>
      </c>
      <c r="H27" s="16">
        <v>0</v>
      </c>
      <c r="I27" s="16">
        <v>0</v>
      </c>
      <c r="J27" s="16">
        <v>0</v>
      </c>
      <c r="K27" s="16">
        <v>0</v>
      </c>
      <c r="L27" s="16">
        <v>1</v>
      </c>
      <c r="M27" s="16">
        <v>0</v>
      </c>
    </row>
    <row r="28" spans="1:13" x14ac:dyDescent="0.35">
      <c r="A28" s="16" t="s">
        <v>31</v>
      </c>
      <c r="B28" s="17">
        <f t="shared" si="1"/>
        <v>20</v>
      </c>
      <c r="C28" s="17">
        <f t="shared" si="2"/>
        <v>59</v>
      </c>
      <c r="D28" s="16">
        <v>11</v>
      </c>
      <c r="E28" s="16">
        <v>6</v>
      </c>
      <c r="F28" s="16">
        <v>2</v>
      </c>
      <c r="G28" s="16">
        <v>1</v>
      </c>
      <c r="H28" s="16">
        <v>0</v>
      </c>
      <c r="I28" s="16">
        <v>35</v>
      </c>
      <c r="J28" s="16">
        <v>15</v>
      </c>
      <c r="K28" s="16">
        <v>7</v>
      </c>
      <c r="L28" s="16">
        <v>2</v>
      </c>
      <c r="M28" s="16">
        <v>0</v>
      </c>
    </row>
    <row r="29" spans="1:13" x14ac:dyDescent="0.35">
      <c r="A29" s="16" t="s">
        <v>32</v>
      </c>
      <c r="B29" s="17">
        <f t="shared" si="1"/>
        <v>23</v>
      </c>
      <c r="C29" s="17">
        <f t="shared" si="2"/>
        <v>48</v>
      </c>
      <c r="D29" s="16">
        <v>16</v>
      </c>
      <c r="E29" s="16">
        <v>5</v>
      </c>
      <c r="F29" s="16">
        <v>2</v>
      </c>
      <c r="G29" s="16">
        <v>0</v>
      </c>
      <c r="H29" s="16">
        <v>0</v>
      </c>
      <c r="I29" s="16">
        <v>34</v>
      </c>
      <c r="J29" s="16">
        <v>10</v>
      </c>
      <c r="K29" s="16">
        <v>4</v>
      </c>
      <c r="L29" s="16">
        <v>0</v>
      </c>
      <c r="M29" s="16">
        <v>0</v>
      </c>
    </row>
    <row r="30" spans="1:13" x14ac:dyDescent="0.35">
      <c r="A30" s="16" t="s">
        <v>33</v>
      </c>
      <c r="B30" s="17">
        <f t="shared" si="1"/>
        <v>92</v>
      </c>
      <c r="C30" s="17">
        <f t="shared" si="2"/>
        <v>191</v>
      </c>
      <c r="D30" s="16">
        <v>57</v>
      </c>
      <c r="E30" s="16">
        <v>20</v>
      </c>
      <c r="F30" s="16">
        <v>5</v>
      </c>
      <c r="G30" s="16">
        <v>10</v>
      </c>
      <c r="H30" s="16">
        <v>0</v>
      </c>
      <c r="I30" s="16">
        <v>124</v>
      </c>
      <c r="J30" s="16">
        <v>41</v>
      </c>
      <c r="K30" s="16">
        <v>11</v>
      </c>
      <c r="L30" s="16">
        <v>15</v>
      </c>
      <c r="M30" s="16">
        <v>0</v>
      </c>
    </row>
    <row r="31" spans="1:13" x14ac:dyDescent="0.35">
      <c r="A31" s="16" t="s">
        <v>34</v>
      </c>
      <c r="B31" s="17">
        <f t="shared" si="1"/>
        <v>892</v>
      </c>
      <c r="C31" s="17">
        <f t="shared" si="2"/>
        <v>1851</v>
      </c>
      <c r="D31" s="16">
        <v>565</v>
      </c>
      <c r="E31" s="16">
        <v>206</v>
      </c>
      <c r="F31" s="16">
        <v>48</v>
      </c>
      <c r="G31" s="16">
        <v>73</v>
      </c>
      <c r="H31" s="16">
        <v>0</v>
      </c>
      <c r="I31" s="16">
        <v>1152</v>
      </c>
      <c r="J31" s="16">
        <v>450</v>
      </c>
      <c r="K31" s="16">
        <v>115</v>
      </c>
      <c r="L31" s="16">
        <v>134</v>
      </c>
      <c r="M31" s="16">
        <v>0</v>
      </c>
    </row>
    <row r="32" spans="1:13" x14ac:dyDescent="0.35">
      <c r="A32" s="16" t="s">
        <v>67</v>
      </c>
      <c r="B32" s="17">
        <f t="shared" si="1"/>
        <v>1</v>
      </c>
      <c r="C32" s="17">
        <f t="shared" si="2"/>
        <v>1</v>
      </c>
      <c r="D32" s="16">
        <v>0</v>
      </c>
      <c r="E32" s="16">
        <v>1</v>
      </c>
      <c r="F32" s="16">
        <v>0</v>
      </c>
      <c r="G32" s="16">
        <v>0</v>
      </c>
      <c r="H32" s="16">
        <v>0</v>
      </c>
      <c r="I32" s="16">
        <v>0</v>
      </c>
      <c r="J32" s="16">
        <v>1</v>
      </c>
      <c r="K32" s="16">
        <v>0</v>
      </c>
      <c r="L32" s="16">
        <v>0</v>
      </c>
      <c r="M32" s="16">
        <v>0</v>
      </c>
    </row>
    <row r="33" spans="1:20" x14ac:dyDescent="0.35">
      <c r="A33" s="16" t="s">
        <v>35</v>
      </c>
      <c r="B33" s="17">
        <f t="shared" si="1"/>
        <v>325</v>
      </c>
      <c r="C33" s="17">
        <f t="shared" si="2"/>
        <v>523</v>
      </c>
      <c r="D33" s="16">
        <v>145</v>
      </c>
      <c r="E33" s="16">
        <v>91</v>
      </c>
      <c r="F33" s="16">
        <v>23</v>
      </c>
      <c r="G33" s="16">
        <v>66</v>
      </c>
      <c r="H33" s="16">
        <v>0</v>
      </c>
      <c r="I33" s="16">
        <v>228</v>
      </c>
      <c r="J33" s="16">
        <v>166</v>
      </c>
      <c r="K33" s="16">
        <v>41</v>
      </c>
      <c r="L33" s="16">
        <v>88</v>
      </c>
      <c r="M33" s="16">
        <v>0</v>
      </c>
    </row>
    <row r="34" spans="1:20" x14ac:dyDescent="0.35">
      <c r="A34" s="16" t="s">
        <v>36</v>
      </c>
      <c r="B34" s="17">
        <f t="shared" si="1"/>
        <v>22</v>
      </c>
      <c r="C34" s="17">
        <f t="shared" si="2"/>
        <v>27</v>
      </c>
      <c r="D34" s="16">
        <v>11</v>
      </c>
      <c r="E34" s="16">
        <v>9</v>
      </c>
      <c r="F34" s="16">
        <v>0</v>
      </c>
      <c r="G34" s="16">
        <v>2</v>
      </c>
      <c r="H34" s="16">
        <v>0</v>
      </c>
      <c r="I34" s="16">
        <v>12</v>
      </c>
      <c r="J34" s="16">
        <v>13</v>
      </c>
      <c r="K34" s="16">
        <v>0</v>
      </c>
      <c r="L34" s="16">
        <v>2</v>
      </c>
      <c r="M34" s="16">
        <v>0</v>
      </c>
    </row>
    <row r="35" spans="1:20" x14ac:dyDescent="0.35">
      <c r="A35" s="16" t="s">
        <v>37</v>
      </c>
      <c r="B35" s="17">
        <f t="shared" si="1"/>
        <v>199</v>
      </c>
      <c r="C35" s="17">
        <f t="shared" si="2"/>
        <v>408</v>
      </c>
      <c r="D35" s="16">
        <v>102</v>
      </c>
      <c r="E35" s="16">
        <v>70</v>
      </c>
      <c r="F35" s="16">
        <v>14</v>
      </c>
      <c r="G35" s="16">
        <v>13</v>
      </c>
      <c r="H35" s="16">
        <v>0</v>
      </c>
      <c r="I35" s="16">
        <v>209</v>
      </c>
      <c r="J35" s="16">
        <v>158</v>
      </c>
      <c r="K35" s="16">
        <v>25</v>
      </c>
      <c r="L35" s="16">
        <v>16</v>
      </c>
      <c r="M35" s="16">
        <v>0</v>
      </c>
    </row>
    <row r="36" spans="1:20" x14ac:dyDescent="0.35">
      <c r="A36" s="16" t="s">
        <v>38</v>
      </c>
      <c r="B36" s="17">
        <f t="shared" si="1"/>
        <v>55</v>
      </c>
      <c r="C36" s="17">
        <f t="shared" si="2"/>
        <v>125</v>
      </c>
      <c r="D36" s="16">
        <v>35</v>
      </c>
      <c r="E36" s="16">
        <v>11</v>
      </c>
      <c r="F36" s="16">
        <v>2</v>
      </c>
      <c r="G36" s="16">
        <v>7</v>
      </c>
      <c r="H36" s="16">
        <v>0</v>
      </c>
      <c r="I36" s="16">
        <v>69</v>
      </c>
      <c r="J36" s="16">
        <v>35</v>
      </c>
      <c r="K36" s="16">
        <v>6</v>
      </c>
      <c r="L36" s="16">
        <v>15</v>
      </c>
      <c r="M36" s="16">
        <v>0</v>
      </c>
    </row>
    <row r="37" spans="1:20" x14ac:dyDescent="0.35">
      <c r="A37" s="16" t="s">
        <v>39</v>
      </c>
      <c r="B37" s="17">
        <f t="shared" si="1"/>
        <v>57</v>
      </c>
      <c r="C37" s="17">
        <f t="shared" si="2"/>
        <v>93</v>
      </c>
      <c r="D37" s="16">
        <v>40</v>
      </c>
      <c r="E37" s="16">
        <v>13</v>
      </c>
      <c r="F37" s="16">
        <v>1</v>
      </c>
      <c r="G37" s="16">
        <v>3</v>
      </c>
      <c r="H37" s="16">
        <v>0</v>
      </c>
      <c r="I37" s="16">
        <v>66</v>
      </c>
      <c r="J37" s="16">
        <v>21</v>
      </c>
      <c r="K37" s="16">
        <v>1</v>
      </c>
      <c r="L37" s="16">
        <v>5</v>
      </c>
      <c r="M37" s="16">
        <v>0</v>
      </c>
    </row>
    <row r="38" spans="1:20" x14ac:dyDescent="0.35">
      <c r="A38" s="16" t="s">
        <v>40</v>
      </c>
      <c r="B38" s="17">
        <f t="shared" si="1"/>
        <v>63</v>
      </c>
      <c r="C38" s="17">
        <f t="shared" si="2"/>
        <v>144</v>
      </c>
      <c r="D38" s="16">
        <v>18</v>
      </c>
      <c r="E38" s="16">
        <v>23</v>
      </c>
      <c r="F38" s="16">
        <v>13</v>
      </c>
      <c r="G38" s="16">
        <v>9</v>
      </c>
      <c r="H38" s="16">
        <v>0</v>
      </c>
      <c r="I38" s="16">
        <v>41</v>
      </c>
      <c r="J38" s="16">
        <v>50</v>
      </c>
      <c r="K38" s="16">
        <v>31</v>
      </c>
      <c r="L38" s="16">
        <v>22</v>
      </c>
      <c r="M38" s="16">
        <v>0</v>
      </c>
    </row>
    <row r="39" spans="1:20" x14ac:dyDescent="0.35">
      <c r="A39" s="16" t="s">
        <v>41</v>
      </c>
      <c r="B39" s="17">
        <f t="shared" si="1"/>
        <v>13</v>
      </c>
      <c r="C39" s="17">
        <f t="shared" si="2"/>
        <v>22</v>
      </c>
      <c r="D39" s="16">
        <v>4</v>
      </c>
      <c r="E39" s="16">
        <v>7</v>
      </c>
      <c r="F39" s="16">
        <v>1</v>
      </c>
      <c r="G39" s="16">
        <v>1</v>
      </c>
      <c r="H39" s="16">
        <v>0</v>
      </c>
      <c r="I39" s="16">
        <v>6</v>
      </c>
      <c r="J39" s="16">
        <v>13</v>
      </c>
      <c r="K39" s="16">
        <v>2</v>
      </c>
      <c r="L39" s="16">
        <v>1</v>
      </c>
      <c r="M39" s="16">
        <v>0</v>
      </c>
    </row>
    <row r="40" spans="1:20" x14ac:dyDescent="0.35">
      <c r="A40" s="16" t="s">
        <v>42</v>
      </c>
      <c r="B40" s="17">
        <f t="shared" si="1"/>
        <v>23</v>
      </c>
      <c r="C40" s="17">
        <f t="shared" si="2"/>
        <v>39</v>
      </c>
      <c r="D40" s="16">
        <v>14</v>
      </c>
      <c r="E40" s="16">
        <v>5</v>
      </c>
      <c r="F40" s="16">
        <v>1</v>
      </c>
      <c r="G40" s="16">
        <v>3</v>
      </c>
      <c r="H40" s="16">
        <v>0</v>
      </c>
      <c r="I40" s="16">
        <v>26</v>
      </c>
      <c r="J40" s="16">
        <v>8</v>
      </c>
      <c r="K40" s="16">
        <v>2</v>
      </c>
      <c r="L40" s="16">
        <v>3</v>
      </c>
      <c r="M40" s="16">
        <v>0</v>
      </c>
    </row>
    <row r="41" spans="1:20" x14ac:dyDescent="0.35">
      <c r="A41" s="18">
        <v>3753</v>
      </c>
      <c r="B41" s="19">
        <f t="shared" si="1"/>
        <v>556</v>
      </c>
      <c r="C41" s="19">
        <f t="shared" si="2"/>
        <v>931</v>
      </c>
      <c r="D41" s="19">
        <f t="shared" ref="D41:M41" si="3">SUM(D42:D45)</f>
        <v>332</v>
      </c>
      <c r="E41" s="19">
        <f t="shared" si="3"/>
        <v>132</v>
      </c>
      <c r="F41" s="19">
        <f t="shared" si="3"/>
        <v>23</v>
      </c>
      <c r="G41" s="19">
        <f t="shared" si="3"/>
        <v>69</v>
      </c>
      <c r="H41" s="19">
        <f t="shared" si="3"/>
        <v>0</v>
      </c>
      <c r="I41" s="19">
        <f t="shared" si="3"/>
        <v>549</v>
      </c>
      <c r="J41" s="19">
        <f t="shared" si="3"/>
        <v>227</v>
      </c>
      <c r="K41" s="19">
        <f t="shared" si="3"/>
        <v>34</v>
      </c>
      <c r="L41" s="19">
        <f t="shared" si="3"/>
        <v>121</v>
      </c>
      <c r="M41" s="19">
        <f t="shared" si="3"/>
        <v>0</v>
      </c>
    </row>
    <row r="42" spans="1:20" x14ac:dyDescent="0.35">
      <c r="A42" s="16" t="s">
        <v>43</v>
      </c>
      <c r="B42" s="20">
        <f t="shared" si="1"/>
        <v>81</v>
      </c>
      <c r="C42" s="20">
        <f t="shared" si="2"/>
        <v>140</v>
      </c>
      <c r="D42" s="29">
        <v>42</v>
      </c>
      <c r="E42" s="29">
        <v>25</v>
      </c>
      <c r="F42" s="29">
        <v>8</v>
      </c>
      <c r="G42" s="29">
        <v>6</v>
      </c>
      <c r="H42" s="16">
        <v>0</v>
      </c>
      <c r="I42" s="29">
        <v>72</v>
      </c>
      <c r="J42" s="29">
        <v>38</v>
      </c>
      <c r="K42" s="29">
        <v>14</v>
      </c>
      <c r="L42" s="29">
        <v>16</v>
      </c>
      <c r="M42" s="16">
        <v>0</v>
      </c>
      <c r="N42" s="15"/>
      <c r="O42" s="15"/>
      <c r="P42" s="15"/>
      <c r="Q42" s="15"/>
      <c r="R42" s="15"/>
      <c r="S42" s="15"/>
      <c r="T42" s="15"/>
    </row>
    <row r="43" spans="1:20" x14ac:dyDescent="0.35">
      <c r="A43" s="16" t="s">
        <v>44</v>
      </c>
      <c r="B43" s="20">
        <f t="shared" si="1"/>
        <v>54</v>
      </c>
      <c r="C43" s="20">
        <f t="shared" si="2"/>
        <v>100</v>
      </c>
      <c r="D43" s="29">
        <v>37</v>
      </c>
      <c r="E43" s="29">
        <v>15</v>
      </c>
      <c r="F43" s="29">
        <v>0</v>
      </c>
      <c r="G43" s="29">
        <v>2</v>
      </c>
      <c r="H43" s="16">
        <v>0</v>
      </c>
      <c r="I43" s="29">
        <v>66</v>
      </c>
      <c r="J43" s="29">
        <v>30</v>
      </c>
      <c r="K43" s="29">
        <v>0</v>
      </c>
      <c r="L43" s="29">
        <v>4</v>
      </c>
      <c r="M43" s="16">
        <v>0</v>
      </c>
    </row>
    <row r="44" spans="1:20" x14ac:dyDescent="0.35">
      <c r="A44" s="16" t="s">
        <v>45</v>
      </c>
      <c r="B44" s="20">
        <f t="shared" si="1"/>
        <v>96</v>
      </c>
      <c r="C44" s="20">
        <f t="shared" si="2"/>
        <v>148</v>
      </c>
      <c r="D44" s="29">
        <v>59</v>
      </c>
      <c r="E44" s="29">
        <v>26</v>
      </c>
      <c r="F44" s="29">
        <v>3</v>
      </c>
      <c r="G44" s="29">
        <v>8</v>
      </c>
      <c r="H44" s="16">
        <v>0</v>
      </c>
      <c r="I44" s="29">
        <v>89</v>
      </c>
      <c r="J44" s="29">
        <v>46</v>
      </c>
      <c r="K44" s="29">
        <v>3</v>
      </c>
      <c r="L44" s="29">
        <v>10</v>
      </c>
      <c r="M44" s="16">
        <v>0</v>
      </c>
    </row>
    <row r="45" spans="1:20" x14ac:dyDescent="0.35">
      <c r="A45" s="16" t="s">
        <v>46</v>
      </c>
      <c r="B45" s="20">
        <f t="shared" si="1"/>
        <v>325</v>
      </c>
      <c r="C45" s="20">
        <f t="shared" si="2"/>
        <v>543</v>
      </c>
      <c r="D45" s="29">
        <v>194</v>
      </c>
      <c r="E45" s="29">
        <v>66</v>
      </c>
      <c r="F45" s="29">
        <v>12</v>
      </c>
      <c r="G45" s="29">
        <v>53</v>
      </c>
      <c r="H45" s="16">
        <v>0</v>
      </c>
      <c r="I45" s="29">
        <v>322</v>
      </c>
      <c r="J45" s="29">
        <v>113</v>
      </c>
      <c r="K45" s="29">
        <v>17</v>
      </c>
      <c r="L45" s="29">
        <v>91</v>
      </c>
      <c r="M45" s="16">
        <v>0</v>
      </c>
    </row>
    <row r="46" spans="1:20" x14ac:dyDescent="0.35">
      <c r="A46" s="21">
        <v>3754</v>
      </c>
      <c r="B46" s="22">
        <f t="shared" si="1"/>
        <v>178</v>
      </c>
      <c r="C46" s="22">
        <f t="shared" si="2"/>
        <v>288</v>
      </c>
      <c r="D46" s="22">
        <f t="shared" ref="D46:M46" si="4">SUM(D47:D49)</f>
        <v>107</v>
      </c>
      <c r="E46" s="22">
        <f t="shared" si="4"/>
        <v>29</v>
      </c>
      <c r="F46" s="22">
        <f t="shared" si="4"/>
        <v>8</v>
      </c>
      <c r="G46" s="22">
        <f t="shared" si="4"/>
        <v>34</v>
      </c>
      <c r="H46" s="22">
        <f t="shared" si="4"/>
        <v>0</v>
      </c>
      <c r="I46" s="22">
        <f t="shared" si="4"/>
        <v>179</v>
      </c>
      <c r="J46" s="22">
        <f t="shared" si="4"/>
        <v>44</v>
      </c>
      <c r="K46" s="22">
        <f t="shared" si="4"/>
        <v>17</v>
      </c>
      <c r="L46" s="22">
        <f t="shared" si="4"/>
        <v>48</v>
      </c>
      <c r="M46" s="22">
        <f t="shared" si="4"/>
        <v>0</v>
      </c>
    </row>
    <row r="47" spans="1:20" x14ac:dyDescent="0.35">
      <c r="A47" s="16" t="s">
        <v>47</v>
      </c>
      <c r="B47" s="20">
        <f t="shared" si="1"/>
        <v>30</v>
      </c>
      <c r="C47" s="20">
        <f t="shared" si="2"/>
        <v>45</v>
      </c>
      <c r="D47" s="16">
        <v>17</v>
      </c>
      <c r="E47" s="16">
        <v>7</v>
      </c>
      <c r="F47" s="16">
        <v>4</v>
      </c>
      <c r="G47" s="16">
        <v>2</v>
      </c>
      <c r="H47" s="16">
        <v>0</v>
      </c>
      <c r="I47" s="16">
        <v>26</v>
      </c>
      <c r="J47" s="16">
        <v>9</v>
      </c>
      <c r="K47" s="16">
        <v>6</v>
      </c>
      <c r="L47" s="16">
        <v>4</v>
      </c>
      <c r="M47" s="16">
        <v>0</v>
      </c>
      <c r="N47" s="15"/>
      <c r="O47" s="15"/>
      <c r="P47" s="15"/>
      <c r="Q47" s="15"/>
      <c r="R47" s="15"/>
      <c r="S47" s="15"/>
      <c r="T47" s="15"/>
    </row>
    <row r="48" spans="1:20" x14ac:dyDescent="0.35">
      <c r="A48" s="16" t="s">
        <v>48</v>
      </c>
      <c r="B48" s="20">
        <f t="shared" si="1"/>
        <v>110</v>
      </c>
      <c r="C48" s="20">
        <f t="shared" si="2"/>
        <v>174</v>
      </c>
      <c r="D48" s="16">
        <v>67</v>
      </c>
      <c r="E48" s="16">
        <v>16</v>
      </c>
      <c r="F48" s="16">
        <v>2</v>
      </c>
      <c r="G48" s="16">
        <v>25</v>
      </c>
      <c r="H48" s="16">
        <v>0</v>
      </c>
      <c r="I48" s="16">
        <v>112</v>
      </c>
      <c r="J48" s="16">
        <v>24</v>
      </c>
      <c r="K48" s="16">
        <v>3</v>
      </c>
      <c r="L48" s="16">
        <v>35</v>
      </c>
      <c r="M48" s="16">
        <v>0</v>
      </c>
    </row>
    <row r="49" spans="1:13" x14ac:dyDescent="0.35">
      <c r="A49" s="16" t="s">
        <v>49</v>
      </c>
      <c r="B49" s="20">
        <f t="shared" si="1"/>
        <v>38</v>
      </c>
      <c r="C49" s="20">
        <f t="shared" si="2"/>
        <v>69</v>
      </c>
      <c r="D49" s="16">
        <v>23</v>
      </c>
      <c r="E49" s="16">
        <v>6</v>
      </c>
      <c r="F49" s="16">
        <v>2</v>
      </c>
      <c r="G49" s="16">
        <v>7</v>
      </c>
      <c r="H49" s="16">
        <v>0</v>
      </c>
      <c r="I49" s="16">
        <v>41</v>
      </c>
      <c r="J49" s="16">
        <v>11</v>
      </c>
      <c r="K49" s="16">
        <v>8</v>
      </c>
      <c r="L49" s="16">
        <v>9</v>
      </c>
      <c r="M49" s="16">
        <v>0</v>
      </c>
    </row>
    <row r="50" spans="1:13" x14ac:dyDescent="0.35">
      <c r="A50" s="23" t="s">
        <v>50</v>
      </c>
      <c r="B50" s="23">
        <f t="shared" ref="B50:M50" si="5">B4+B41+B46</f>
        <v>4811</v>
      </c>
      <c r="C50" s="23">
        <f t="shared" si="5"/>
        <v>9520</v>
      </c>
      <c r="D50" s="23">
        <f t="shared" si="5"/>
        <v>2549</v>
      </c>
      <c r="E50" s="23">
        <f t="shared" si="5"/>
        <v>1064</v>
      </c>
      <c r="F50" s="23">
        <f t="shared" si="5"/>
        <v>225</v>
      </c>
      <c r="G50" s="23">
        <f t="shared" si="5"/>
        <v>540</v>
      </c>
      <c r="H50" s="23">
        <f t="shared" si="5"/>
        <v>1</v>
      </c>
      <c r="I50" s="23">
        <f t="shared" si="5"/>
        <v>4902</v>
      </c>
      <c r="J50" s="23">
        <f t="shared" si="5"/>
        <v>2390</v>
      </c>
      <c r="K50" s="23">
        <f t="shared" si="5"/>
        <v>495</v>
      </c>
      <c r="L50" s="23">
        <f t="shared" si="5"/>
        <v>874</v>
      </c>
      <c r="M50" s="23">
        <f t="shared" si="5"/>
        <v>1</v>
      </c>
    </row>
    <row r="52" spans="1:13" ht="20" x14ac:dyDescent="0.35">
      <c r="A52" s="3" t="s">
        <v>51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x14ac:dyDescent="0.35">
      <c r="A53" s="2" t="s">
        <v>52</v>
      </c>
      <c r="B53" s="1" t="s">
        <v>8</v>
      </c>
      <c r="C53" s="1"/>
      <c r="D53" s="1" t="s">
        <v>9</v>
      </c>
      <c r="E53" s="1"/>
      <c r="F53" s="1" t="s">
        <v>10</v>
      </c>
      <c r="G53" s="1"/>
      <c r="H53" s="1" t="s">
        <v>11</v>
      </c>
      <c r="I53" s="1"/>
      <c r="J53" s="1" t="s">
        <v>68</v>
      </c>
      <c r="K53" s="1"/>
      <c r="L53" s="1" t="s">
        <v>53</v>
      </c>
      <c r="M53" s="1" t="s">
        <v>54</v>
      </c>
    </row>
    <row r="54" spans="1:13" x14ac:dyDescent="0.35">
      <c r="A54" s="2"/>
      <c r="B54" s="25" t="s">
        <v>55</v>
      </c>
      <c r="C54" s="25" t="s">
        <v>7</v>
      </c>
      <c r="D54" s="25" t="s">
        <v>55</v>
      </c>
      <c r="E54" s="25" t="s">
        <v>7</v>
      </c>
      <c r="F54" s="25" t="s">
        <v>55</v>
      </c>
      <c r="G54" s="25" t="s">
        <v>7</v>
      </c>
      <c r="H54" s="25" t="s">
        <v>55</v>
      </c>
      <c r="I54" s="25" t="s">
        <v>7</v>
      </c>
      <c r="J54" s="25" t="s">
        <v>55</v>
      </c>
      <c r="K54" s="25" t="s">
        <v>7</v>
      </c>
      <c r="L54" s="1" t="s">
        <v>53</v>
      </c>
      <c r="M54" s="1" t="s">
        <v>56</v>
      </c>
    </row>
    <row r="55" spans="1:13" x14ac:dyDescent="0.35">
      <c r="A55" s="26" t="s">
        <v>57</v>
      </c>
      <c r="B55" s="26">
        <v>2371</v>
      </c>
      <c r="C55" s="26">
        <v>5076</v>
      </c>
      <c r="D55" s="26">
        <v>963</v>
      </c>
      <c r="E55" s="26">
        <v>2585</v>
      </c>
      <c r="F55" s="26">
        <v>224</v>
      </c>
      <c r="G55" s="26">
        <v>569</v>
      </c>
      <c r="H55" s="26">
        <v>511</v>
      </c>
      <c r="I55" s="26">
        <v>910</v>
      </c>
      <c r="J55" s="26">
        <v>0</v>
      </c>
      <c r="K55" s="26">
        <v>0</v>
      </c>
      <c r="L55" s="26">
        <f t="shared" ref="L55:M57" si="6">SUM(B55+D55+F55+H55+J55)</f>
        <v>4069</v>
      </c>
      <c r="M55" s="26">
        <f t="shared" si="6"/>
        <v>9140</v>
      </c>
    </row>
    <row r="56" spans="1:13" x14ac:dyDescent="0.35">
      <c r="A56" s="26" t="s">
        <v>69</v>
      </c>
      <c r="B56" s="26">
        <v>0</v>
      </c>
      <c r="C56" s="26">
        <v>0</v>
      </c>
      <c r="D56" s="26">
        <v>0</v>
      </c>
      <c r="E56" s="26">
        <v>0</v>
      </c>
      <c r="F56" s="26">
        <v>0</v>
      </c>
      <c r="G56" s="26">
        <v>0</v>
      </c>
      <c r="H56" s="26">
        <v>1</v>
      </c>
      <c r="I56" s="26">
        <v>1</v>
      </c>
      <c r="J56" s="26">
        <v>1</v>
      </c>
      <c r="K56" s="26">
        <v>1</v>
      </c>
      <c r="L56" s="26">
        <f t="shared" si="6"/>
        <v>2</v>
      </c>
      <c r="M56" s="26">
        <f t="shared" si="6"/>
        <v>2</v>
      </c>
    </row>
    <row r="57" spans="1:13" x14ac:dyDescent="0.35">
      <c r="A57" s="26" t="s">
        <v>58</v>
      </c>
      <c r="B57" s="26">
        <v>142</v>
      </c>
      <c r="C57" s="26">
        <v>253</v>
      </c>
      <c r="D57" s="26">
        <v>45</v>
      </c>
      <c r="E57" s="26">
        <v>93</v>
      </c>
      <c r="F57" s="26">
        <v>3</v>
      </c>
      <c r="G57" s="26">
        <v>5</v>
      </c>
      <c r="H57" s="26">
        <v>13</v>
      </c>
      <c r="I57" s="26">
        <v>27</v>
      </c>
      <c r="J57" s="26">
        <v>0</v>
      </c>
      <c r="K57" s="26">
        <v>0</v>
      </c>
      <c r="L57" s="26">
        <f t="shared" si="6"/>
        <v>203</v>
      </c>
      <c r="M57" s="26">
        <f t="shared" si="6"/>
        <v>378</v>
      </c>
    </row>
    <row r="58" spans="1:13" x14ac:dyDescent="0.35">
      <c r="A58" s="27" t="s">
        <v>59</v>
      </c>
      <c r="B58" s="28">
        <f t="shared" ref="B58:K58" si="7">SUM(B55:B56)</f>
        <v>2371</v>
      </c>
      <c r="C58" s="28">
        <f t="shared" si="7"/>
        <v>5076</v>
      </c>
      <c r="D58" s="28">
        <f t="shared" si="7"/>
        <v>963</v>
      </c>
      <c r="E58" s="28">
        <f t="shared" si="7"/>
        <v>2585</v>
      </c>
      <c r="F58" s="28">
        <f t="shared" si="7"/>
        <v>224</v>
      </c>
      <c r="G58" s="28">
        <f t="shared" si="7"/>
        <v>569</v>
      </c>
      <c r="H58" s="28">
        <f t="shared" si="7"/>
        <v>512</v>
      </c>
      <c r="I58" s="28">
        <f t="shared" si="7"/>
        <v>911</v>
      </c>
      <c r="J58" s="28">
        <f t="shared" si="7"/>
        <v>1</v>
      </c>
      <c r="K58" s="28">
        <f t="shared" si="7"/>
        <v>1</v>
      </c>
      <c r="L58" s="28">
        <f>SUM(L55:L57)</f>
        <v>4274</v>
      </c>
      <c r="M58" s="28">
        <f>SUM(M55:M57)</f>
        <v>9520</v>
      </c>
    </row>
  </sheetData>
  <mergeCells count="13">
    <mergeCell ref="J53:K53"/>
    <mergeCell ref="L53:L54"/>
    <mergeCell ref="M53:M54"/>
    <mergeCell ref="A53:A54"/>
    <mergeCell ref="B53:C53"/>
    <mergeCell ref="D53:E53"/>
    <mergeCell ref="F53:G53"/>
    <mergeCell ref="H53:I53"/>
    <mergeCell ref="A1:L1"/>
    <mergeCell ref="B2:C2"/>
    <mergeCell ref="D2:H2"/>
    <mergeCell ref="I2:L2"/>
    <mergeCell ref="A52:M52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0"/>
  <sheetViews>
    <sheetView zoomScale="80" zoomScaleNormal="80" workbookViewId="0">
      <pane ySplit="3" topLeftCell="A25" activePane="bottomLeft" state="frozen"/>
      <selection pane="bottomLeft" activeCell="P54" sqref="P54"/>
    </sheetView>
  </sheetViews>
  <sheetFormatPr baseColWidth="10" defaultColWidth="15.1796875" defaultRowHeight="14.5" x14ac:dyDescent="0.35"/>
  <cols>
    <col min="1" max="1" width="47.08984375" customWidth="1"/>
    <col min="2" max="2" width="12.81640625" customWidth="1"/>
    <col min="3" max="3" width="6.54296875" customWidth="1"/>
    <col min="4" max="4" width="12.26953125" customWidth="1"/>
    <col min="5" max="5" width="10.26953125" customWidth="1"/>
    <col min="6" max="6" width="11" customWidth="1"/>
    <col min="7" max="7" width="8.453125" customWidth="1"/>
    <col min="8" max="9" width="6.90625" customWidth="1"/>
    <col min="10" max="10" width="7.08984375" customWidth="1"/>
    <col min="11" max="11" width="8" customWidth="1"/>
    <col min="12" max="12" width="8.453125" customWidth="1"/>
    <col min="13" max="14" width="12.453125" customWidth="1"/>
  </cols>
  <sheetData>
    <row r="1" spans="1:22" ht="26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7"/>
    </row>
    <row r="2" spans="1:22" ht="29.9" customHeight="1" x14ac:dyDescent="0.35">
      <c r="A2" s="8" t="s">
        <v>1</v>
      </c>
      <c r="B2" s="5" t="s">
        <v>70</v>
      </c>
      <c r="C2" s="5"/>
      <c r="D2" s="4" t="s">
        <v>3</v>
      </c>
      <c r="E2" s="4"/>
      <c r="F2" s="4"/>
      <c r="G2" s="4"/>
      <c r="H2" s="4"/>
      <c r="I2" s="4"/>
      <c r="J2" s="4" t="s">
        <v>4</v>
      </c>
      <c r="K2" s="4"/>
      <c r="L2" s="4"/>
      <c r="M2" s="4"/>
      <c r="N2" s="4"/>
      <c r="O2" s="9"/>
    </row>
    <row r="3" spans="1:22" x14ac:dyDescent="0.35">
      <c r="A3" s="10" t="s">
        <v>5</v>
      </c>
      <c r="B3" s="11" t="s">
        <v>6</v>
      </c>
      <c r="C3" s="12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13" t="s">
        <v>71</v>
      </c>
      <c r="I3" s="13" t="s">
        <v>12</v>
      </c>
      <c r="J3" s="13" t="s">
        <v>8</v>
      </c>
      <c r="K3" s="13" t="s">
        <v>9</v>
      </c>
      <c r="L3" s="13" t="s">
        <v>10</v>
      </c>
      <c r="M3" s="13" t="s">
        <v>11</v>
      </c>
      <c r="N3" s="13" t="s">
        <v>71</v>
      </c>
      <c r="O3" s="13" t="s">
        <v>12</v>
      </c>
    </row>
    <row r="4" spans="1:22" x14ac:dyDescent="0.35">
      <c r="A4" s="14">
        <v>3734</v>
      </c>
      <c r="B4" s="14">
        <f>SUM(B5:B41)</f>
        <v>4317</v>
      </c>
      <c r="C4" s="14">
        <f>SUM(C5:C41)</f>
        <v>8715</v>
      </c>
      <c r="D4" s="14">
        <f t="shared" ref="D4:O4" si="0">SUM(D5:D33)</f>
        <v>2131</v>
      </c>
      <c r="E4" s="14">
        <f t="shared" si="0"/>
        <v>842</v>
      </c>
      <c r="F4" s="14">
        <f t="shared" si="0"/>
        <v>193</v>
      </c>
      <c r="G4" s="14">
        <f t="shared" si="0"/>
        <v>359</v>
      </c>
      <c r="H4" s="14">
        <f t="shared" si="0"/>
        <v>2</v>
      </c>
      <c r="I4" s="14">
        <f t="shared" si="0"/>
        <v>12</v>
      </c>
      <c r="J4" s="14">
        <f t="shared" si="0"/>
        <v>4293</v>
      </c>
      <c r="K4" s="14">
        <f t="shared" si="0"/>
        <v>1938</v>
      </c>
      <c r="L4" s="14">
        <f t="shared" si="0"/>
        <v>423</v>
      </c>
      <c r="M4" s="14">
        <f t="shared" si="0"/>
        <v>625</v>
      </c>
      <c r="N4" s="14">
        <f t="shared" si="0"/>
        <v>2</v>
      </c>
      <c r="O4" s="14">
        <f t="shared" si="0"/>
        <v>12</v>
      </c>
      <c r="P4" s="15"/>
      <c r="Q4" s="15"/>
      <c r="R4" s="15"/>
      <c r="S4" s="15"/>
      <c r="T4" s="15"/>
      <c r="U4" s="15"/>
      <c r="V4" s="15"/>
    </row>
    <row r="5" spans="1:22" x14ac:dyDescent="0.35">
      <c r="A5" s="16" t="s">
        <v>13</v>
      </c>
      <c r="B5" s="17">
        <f t="shared" ref="B5:B50" si="1">SUM(D5:I5)</f>
        <v>10</v>
      </c>
      <c r="C5" s="17">
        <f t="shared" ref="C5:C50" si="2">SUM(J5:O5)</f>
        <v>21</v>
      </c>
      <c r="D5" s="16">
        <v>5</v>
      </c>
      <c r="E5" s="16">
        <v>3</v>
      </c>
      <c r="F5" s="16">
        <v>0</v>
      </c>
      <c r="G5" s="16">
        <v>2</v>
      </c>
      <c r="H5" s="16">
        <v>0</v>
      </c>
      <c r="I5" s="16">
        <v>0</v>
      </c>
      <c r="J5" s="16">
        <v>13</v>
      </c>
      <c r="K5" s="16">
        <v>5</v>
      </c>
      <c r="L5" s="16">
        <v>0</v>
      </c>
      <c r="M5" s="16">
        <v>3</v>
      </c>
      <c r="N5" s="16">
        <v>0</v>
      </c>
      <c r="O5" s="16">
        <v>0</v>
      </c>
    </row>
    <row r="6" spans="1:22" x14ac:dyDescent="0.35">
      <c r="A6" s="16" t="s">
        <v>72</v>
      </c>
      <c r="B6" s="17">
        <f t="shared" si="1"/>
        <v>172</v>
      </c>
      <c r="C6" s="17">
        <f t="shared" si="2"/>
        <v>173</v>
      </c>
      <c r="D6" s="16">
        <v>91</v>
      </c>
      <c r="E6" s="16">
        <v>35</v>
      </c>
      <c r="F6" s="16">
        <v>19</v>
      </c>
      <c r="G6" s="16">
        <v>25</v>
      </c>
      <c r="H6" s="16">
        <v>2</v>
      </c>
      <c r="I6" s="16">
        <v>0</v>
      </c>
      <c r="J6" s="16">
        <v>91</v>
      </c>
      <c r="K6" s="16">
        <v>35</v>
      </c>
      <c r="L6" s="16">
        <v>20</v>
      </c>
      <c r="M6" s="16">
        <v>25</v>
      </c>
      <c r="N6" s="16">
        <v>2</v>
      </c>
      <c r="O6" s="16">
        <v>0</v>
      </c>
    </row>
    <row r="7" spans="1:22" x14ac:dyDescent="0.35">
      <c r="A7" s="16" t="s">
        <v>14</v>
      </c>
      <c r="B7" s="17">
        <f t="shared" si="1"/>
        <v>101</v>
      </c>
      <c r="C7" s="17">
        <f t="shared" si="2"/>
        <v>124</v>
      </c>
      <c r="D7" s="16">
        <v>58</v>
      </c>
      <c r="E7" s="16">
        <v>23</v>
      </c>
      <c r="F7" s="16">
        <v>7</v>
      </c>
      <c r="G7" s="16">
        <v>13</v>
      </c>
      <c r="H7" s="16">
        <v>0</v>
      </c>
      <c r="I7" s="16">
        <v>0</v>
      </c>
      <c r="J7" s="16">
        <v>75</v>
      </c>
      <c r="K7" s="16">
        <v>24</v>
      </c>
      <c r="L7" s="16">
        <v>7</v>
      </c>
      <c r="M7" s="16">
        <v>18</v>
      </c>
      <c r="N7" s="16">
        <v>0</v>
      </c>
      <c r="O7" s="16">
        <v>0</v>
      </c>
    </row>
    <row r="8" spans="1:22" x14ac:dyDescent="0.35">
      <c r="A8" s="16" t="s">
        <v>15</v>
      </c>
      <c r="B8" s="17">
        <f t="shared" si="1"/>
        <v>21</v>
      </c>
      <c r="C8" s="17">
        <f t="shared" si="2"/>
        <v>44</v>
      </c>
      <c r="D8" s="16">
        <v>10</v>
      </c>
      <c r="E8" s="16">
        <v>9</v>
      </c>
      <c r="F8" s="16">
        <v>0</v>
      </c>
      <c r="G8" s="16">
        <v>2</v>
      </c>
      <c r="H8" s="16">
        <v>0</v>
      </c>
      <c r="I8" s="16">
        <v>0</v>
      </c>
      <c r="J8" s="16">
        <v>21</v>
      </c>
      <c r="K8" s="16">
        <v>21</v>
      </c>
      <c r="L8" s="16">
        <v>0</v>
      </c>
      <c r="M8" s="16">
        <v>2</v>
      </c>
      <c r="N8" s="16">
        <v>0</v>
      </c>
      <c r="O8" s="16">
        <v>0</v>
      </c>
    </row>
    <row r="9" spans="1:22" x14ac:dyDescent="0.35">
      <c r="A9" s="16" t="s">
        <v>16</v>
      </c>
      <c r="B9" s="17">
        <f t="shared" si="1"/>
        <v>145</v>
      </c>
      <c r="C9" s="17">
        <f t="shared" si="2"/>
        <v>417</v>
      </c>
      <c r="D9" s="16">
        <v>76</v>
      </c>
      <c r="E9" s="16">
        <v>39</v>
      </c>
      <c r="F9" s="16">
        <v>11</v>
      </c>
      <c r="G9" s="16">
        <v>19</v>
      </c>
      <c r="H9" s="16">
        <v>0</v>
      </c>
      <c r="I9" s="16">
        <v>0</v>
      </c>
      <c r="J9" s="16">
        <v>223</v>
      </c>
      <c r="K9" s="16">
        <v>131</v>
      </c>
      <c r="L9" s="16">
        <v>29</v>
      </c>
      <c r="M9" s="16">
        <v>34</v>
      </c>
      <c r="N9" s="16">
        <v>0</v>
      </c>
      <c r="O9" s="16">
        <v>0</v>
      </c>
    </row>
    <row r="10" spans="1:22" x14ac:dyDescent="0.35">
      <c r="A10" s="16" t="s">
        <v>18</v>
      </c>
      <c r="B10" s="17">
        <f t="shared" si="1"/>
        <v>748</v>
      </c>
      <c r="C10" s="17">
        <f t="shared" si="2"/>
        <v>1641</v>
      </c>
      <c r="D10" s="16">
        <v>446</v>
      </c>
      <c r="E10" s="16">
        <v>173</v>
      </c>
      <c r="F10" s="16">
        <v>39</v>
      </c>
      <c r="G10" s="16">
        <v>90</v>
      </c>
      <c r="H10" s="16">
        <v>0</v>
      </c>
      <c r="I10" s="16">
        <v>0</v>
      </c>
      <c r="J10" s="16">
        <v>929</v>
      </c>
      <c r="K10" s="16">
        <v>457</v>
      </c>
      <c r="L10" s="16">
        <v>94</v>
      </c>
      <c r="M10" s="16">
        <v>161</v>
      </c>
      <c r="N10" s="16">
        <v>0</v>
      </c>
      <c r="O10" s="16">
        <v>0</v>
      </c>
    </row>
    <row r="11" spans="1:22" x14ac:dyDescent="0.35">
      <c r="A11" s="16" t="s">
        <v>19</v>
      </c>
      <c r="B11" s="17">
        <f t="shared" si="1"/>
        <v>1</v>
      </c>
      <c r="C11" s="17">
        <f t="shared" si="2"/>
        <v>1</v>
      </c>
      <c r="D11" s="16">
        <v>0</v>
      </c>
      <c r="E11" s="16">
        <v>0</v>
      </c>
      <c r="F11" s="16">
        <v>0</v>
      </c>
      <c r="G11" s="16">
        <v>1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1</v>
      </c>
      <c r="N11" s="16">
        <v>0</v>
      </c>
      <c r="O11" s="16">
        <v>0</v>
      </c>
    </row>
    <row r="12" spans="1:22" x14ac:dyDescent="0.35">
      <c r="A12" s="16" t="s">
        <v>20</v>
      </c>
      <c r="B12" s="17">
        <f t="shared" si="1"/>
        <v>39</v>
      </c>
      <c r="C12" s="17">
        <f t="shared" si="2"/>
        <v>93</v>
      </c>
      <c r="D12" s="16">
        <v>18</v>
      </c>
      <c r="E12" s="16">
        <v>14</v>
      </c>
      <c r="F12" s="16">
        <v>1</v>
      </c>
      <c r="G12" s="16">
        <v>6</v>
      </c>
      <c r="H12" s="16">
        <v>0</v>
      </c>
      <c r="I12" s="16">
        <v>0</v>
      </c>
      <c r="J12" s="16">
        <v>36</v>
      </c>
      <c r="K12" s="16">
        <v>36</v>
      </c>
      <c r="L12" s="16">
        <v>6</v>
      </c>
      <c r="M12" s="16">
        <v>15</v>
      </c>
      <c r="N12" s="16">
        <v>0</v>
      </c>
      <c r="O12" s="16">
        <v>0</v>
      </c>
    </row>
    <row r="13" spans="1:22" x14ac:dyDescent="0.35">
      <c r="A13" s="16" t="s">
        <v>21</v>
      </c>
      <c r="B13" s="17">
        <f t="shared" si="1"/>
        <v>384</v>
      </c>
      <c r="C13" s="17">
        <f t="shared" si="2"/>
        <v>879</v>
      </c>
      <c r="D13" s="16">
        <v>230</v>
      </c>
      <c r="E13" s="16">
        <v>101</v>
      </c>
      <c r="F13" s="16">
        <v>14</v>
      </c>
      <c r="G13" s="16">
        <v>39</v>
      </c>
      <c r="H13" s="16">
        <v>0</v>
      </c>
      <c r="I13" s="16">
        <v>0</v>
      </c>
      <c r="J13" s="16">
        <v>507</v>
      </c>
      <c r="K13" s="16">
        <v>276</v>
      </c>
      <c r="L13" s="16">
        <v>26</v>
      </c>
      <c r="M13" s="16">
        <v>70</v>
      </c>
      <c r="N13" s="16">
        <v>0</v>
      </c>
      <c r="O13" s="16">
        <v>0</v>
      </c>
    </row>
    <row r="14" spans="1:22" x14ac:dyDescent="0.35">
      <c r="A14" s="16" t="s">
        <v>22</v>
      </c>
      <c r="B14" s="17">
        <f t="shared" si="1"/>
        <v>169</v>
      </c>
      <c r="C14" s="17">
        <f t="shared" si="2"/>
        <v>349</v>
      </c>
      <c r="D14" s="16">
        <v>93</v>
      </c>
      <c r="E14" s="16">
        <v>43</v>
      </c>
      <c r="F14" s="16">
        <v>9</v>
      </c>
      <c r="G14" s="16">
        <v>24</v>
      </c>
      <c r="H14" s="16">
        <v>0</v>
      </c>
      <c r="I14" s="16">
        <v>0</v>
      </c>
      <c r="J14" s="16">
        <v>189</v>
      </c>
      <c r="K14" s="16">
        <v>102</v>
      </c>
      <c r="L14" s="16">
        <v>18</v>
      </c>
      <c r="M14" s="16">
        <v>40</v>
      </c>
      <c r="N14" s="16">
        <v>0</v>
      </c>
      <c r="O14" s="16">
        <v>0</v>
      </c>
    </row>
    <row r="15" spans="1:22" x14ac:dyDescent="0.35">
      <c r="A15" s="16" t="s">
        <v>23</v>
      </c>
      <c r="B15" s="17">
        <f t="shared" si="1"/>
        <v>76</v>
      </c>
      <c r="C15" s="17">
        <f t="shared" si="2"/>
        <v>220</v>
      </c>
      <c r="D15" s="16">
        <v>36</v>
      </c>
      <c r="E15" s="16">
        <v>26</v>
      </c>
      <c r="F15" s="16">
        <v>10</v>
      </c>
      <c r="G15" s="16">
        <v>4</v>
      </c>
      <c r="H15" s="16">
        <v>0</v>
      </c>
      <c r="I15" s="16">
        <v>0</v>
      </c>
      <c r="J15" s="16">
        <v>111</v>
      </c>
      <c r="K15" s="16">
        <v>78</v>
      </c>
      <c r="L15" s="16">
        <v>20</v>
      </c>
      <c r="M15" s="16">
        <v>11</v>
      </c>
      <c r="N15" s="16">
        <v>0</v>
      </c>
      <c r="O15" s="16">
        <v>0</v>
      </c>
    </row>
    <row r="16" spans="1:22" x14ac:dyDescent="0.35">
      <c r="A16" s="16" t="s">
        <v>24</v>
      </c>
      <c r="B16" s="17">
        <f t="shared" si="1"/>
        <v>43</v>
      </c>
      <c r="C16" s="17">
        <f t="shared" si="2"/>
        <v>159</v>
      </c>
      <c r="D16" s="16">
        <v>16</v>
      </c>
      <c r="E16" s="16">
        <v>19</v>
      </c>
      <c r="F16" s="16">
        <v>7</v>
      </c>
      <c r="G16" s="16">
        <v>1</v>
      </c>
      <c r="H16" s="16">
        <v>0</v>
      </c>
      <c r="I16" s="16">
        <v>0</v>
      </c>
      <c r="J16" s="16">
        <v>74</v>
      </c>
      <c r="K16" s="16">
        <v>56</v>
      </c>
      <c r="L16" s="16">
        <v>28</v>
      </c>
      <c r="M16" s="16">
        <v>1</v>
      </c>
      <c r="N16" s="16">
        <v>0</v>
      </c>
      <c r="O16" s="16">
        <v>0</v>
      </c>
    </row>
    <row r="17" spans="1:15" x14ac:dyDescent="0.35">
      <c r="A17" s="16" t="s">
        <v>25</v>
      </c>
      <c r="B17" s="17">
        <f t="shared" si="1"/>
        <v>176</v>
      </c>
      <c r="C17" s="17">
        <f t="shared" si="2"/>
        <v>343</v>
      </c>
      <c r="D17" s="16">
        <v>114</v>
      </c>
      <c r="E17" s="16">
        <v>36</v>
      </c>
      <c r="F17" s="16">
        <v>7</v>
      </c>
      <c r="G17" s="16">
        <v>19</v>
      </c>
      <c r="H17" s="16">
        <v>0</v>
      </c>
      <c r="I17" s="16">
        <v>0</v>
      </c>
      <c r="J17" s="16">
        <v>218</v>
      </c>
      <c r="K17" s="16">
        <v>75</v>
      </c>
      <c r="L17" s="16">
        <v>17</v>
      </c>
      <c r="M17" s="16">
        <v>33</v>
      </c>
      <c r="N17" s="16">
        <v>0</v>
      </c>
      <c r="O17" s="16">
        <v>0</v>
      </c>
    </row>
    <row r="18" spans="1:15" x14ac:dyDescent="0.35">
      <c r="A18" s="16" t="s">
        <v>27</v>
      </c>
      <c r="B18" s="17">
        <f t="shared" si="1"/>
        <v>73</v>
      </c>
      <c r="C18" s="17">
        <f t="shared" si="2"/>
        <v>115</v>
      </c>
      <c r="D18" s="16">
        <v>34</v>
      </c>
      <c r="E18" s="16">
        <v>20</v>
      </c>
      <c r="F18" s="16">
        <v>4</v>
      </c>
      <c r="G18" s="16">
        <v>15</v>
      </c>
      <c r="H18" s="16">
        <v>0</v>
      </c>
      <c r="I18" s="16">
        <v>0</v>
      </c>
      <c r="J18" s="16">
        <v>50</v>
      </c>
      <c r="K18" s="16">
        <v>33</v>
      </c>
      <c r="L18" s="16">
        <v>7</v>
      </c>
      <c r="M18" s="16">
        <v>25</v>
      </c>
      <c r="N18" s="16">
        <v>0</v>
      </c>
      <c r="O18" s="16">
        <v>0</v>
      </c>
    </row>
    <row r="19" spans="1:15" x14ac:dyDescent="0.35">
      <c r="A19" s="16" t="s">
        <v>28</v>
      </c>
      <c r="B19" s="17">
        <f t="shared" si="1"/>
        <v>101</v>
      </c>
      <c r="C19" s="17">
        <f t="shared" si="2"/>
        <v>189</v>
      </c>
      <c r="D19" s="16">
        <v>66</v>
      </c>
      <c r="E19" s="16">
        <v>23</v>
      </c>
      <c r="F19" s="16">
        <v>5</v>
      </c>
      <c r="G19" s="16">
        <v>7</v>
      </c>
      <c r="H19" s="16">
        <v>0</v>
      </c>
      <c r="I19" s="16">
        <v>0</v>
      </c>
      <c r="J19" s="16">
        <v>126</v>
      </c>
      <c r="K19" s="16">
        <v>37</v>
      </c>
      <c r="L19" s="16">
        <v>8</v>
      </c>
      <c r="M19" s="16">
        <v>18</v>
      </c>
      <c r="N19" s="16">
        <v>0</v>
      </c>
      <c r="O19" s="16">
        <v>0</v>
      </c>
    </row>
    <row r="20" spans="1:15" x14ac:dyDescent="0.35">
      <c r="A20" s="16" t="s">
        <v>29</v>
      </c>
      <c r="B20" s="17">
        <f t="shared" si="1"/>
        <v>121</v>
      </c>
      <c r="C20" s="17">
        <f t="shared" si="2"/>
        <v>170</v>
      </c>
      <c r="D20" s="16">
        <v>87</v>
      </c>
      <c r="E20" s="16">
        <v>30</v>
      </c>
      <c r="F20" s="16">
        <v>0</v>
      </c>
      <c r="G20" s="16">
        <v>4</v>
      </c>
      <c r="H20" s="16">
        <v>0</v>
      </c>
      <c r="I20" s="16">
        <v>0</v>
      </c>
      <c r="J20" s="16">
        <v>121</v>
      </c>
      <c r="K20" s="16">
        <v>44</v>
      </c>
      <c r="L20" s="16">
        <v>0</v>
      </c>
      <c r="M20" s="16">
        <v>5</v>
      </c>
      <c r="N20" s="16">
        <v>0</v>
      </c>
      <c r="O20" s="16">
        <v>0</v>
      </c>
    </row>
    <row r="21" spans="1:15" x14ac:dyDescent="0.35">
      <c r="A21" s="16" t="s">
        <v>30</v>
      </c>
      <c r="B21" s="17">
        <f t="shared" si="1"/>
        <v>91</v>
      </c>
      <c r="C21" s="17">
        <f t="shared" si="2"/>
        <v>145</v>
      </c>
      <c r="D21" s="16">
        <v>62</v>
      </c>
      <c r="E21" s="16">
        <v>25</v>
      </c>
      <c r="F21" s="16">
        <v>1</v>
      </c>
      <c r="G21" s="16">
        <v>3</v>
      </c>
      <c r="H21" s="16">
        <v>0</v>
      </c>
      <c r="I21" s="16">
        <v>0</v>
      </c>
      <c r="J21" s="16">
        <v>101</v>
      </c>
      <c r="K21" s="16">
        <v>39</v>
      </c>
      <c r="L21" s="16">
        <v>1</v>
      </c>
      <c r="M21" s="16">
        <v>4</v>
      </c>
      <c r="N21" s="16">
        <v>0</v>
      </c>
      <c r="O21" s="16">
        <v>0</v>
      </c>
    </row>
    <row r="22" spans="1:15" x14ac:dyDescent="0.35">
      <c r="A22" s="16" t="s">
        <v>73</v>
      </c>
      <c r="B22" s="17">
        <f t="shared" si="1"/>
        <v>2</v>
      </c>
      <c r="C22" s="17">
        <f t="shared" si="2"/>
        <v>2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2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2</v>
      </c>
    </row>
    <row r="23" spans="1:15" x14ac:dyDescent="0.35">
      <c r="A23" s="16" t="s">
        <v>65</v>
      </c>
      <c r="B23" s="17">
        <f t="shared" si="1"/>
        <v>2</v>
      </c>
      <c r="C23" s="17">
        <f t="shared" si="2"/>
        <v>2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2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2</v>
      </c>
    </row>
    <row r="24" spans="1:15" x14ac:dyDescent="0.35">
      <c r="A24" s="16" t="s">
        <v>74</v>
      </c>
      <c r="B24" s="17">
        <f t="shared" si="1"/>
        <v>3</v>
      </c>
      <c r="C24" s="17">
        <f t="shared" si="2"/>
        <v>3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3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3</v>
      </c>
    </row>
    <row r="25" spans="1:15" x14ac:dyDescent="0.35">
      <c r="A25" s="16" t="s">
        <v>75</v>
      </c>
      <c r="B25" s="17">
        <f t="shared" si="1"/>
        <v>1</v>
      </c>
      <c r="C25" s="17">
        <f t="shared" si="2"/>
        <v>1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1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1</v>
      </c>
    </row>
    <row r="26" spans="1:15" x14ac:dyDescent="0.35">
      <c r="A26" s="16" t="s">
        <v>76</v>
      </c>
      <c r="B26" s="17">
        <f t="shared" si="1"/>
        <v>2</v>
      </c>
      <c r="C26" s="17">
        <f t="shared" si="2"/>
        <v>2</v>
      </c>
      <c r="D26" s="16">
        <v>0</v>
      </c>
      <c r="E26" s="16">
        <v>1</v>
      </c>
      <c r="F26" s="16">
        <v>0</v>
      </c>
      <c r="G26" s="16">
        <v>0</v>
      </c>
      <c r="H26" s="16">
        <v>0</v>
      </c>
      <c r="I26" s="16">
        <v>1</v>
      </c>
      <c r="J26" s="16">
        <v>0</v>
      </c>
      <c r="K26" s="16">
        <v>1</v>
      </c>
      <c r="L26" s="16">
        <v>0</v>
      </c>
      <c r="M26" s="16">
        <v>0</v>
      </c>
      <c r="N26" s="16">
        <v>0</v>
      </c>
      <c r="O26" s="16">
        <v>1</v>
      </c>
    </row>
    <row r="27" spans="1:15" x14ac:dyDescent="0.35">
      <c r="A27" s="16" t="s">
        <v>66</v>
      </c>
      <c r="B27" s="17">
        <f t="shared" si="1"/>
        <v>2</v>
      </c>
      <c r="C27" s="17">
        <f t="shared" si="2"/>
        <v>2</v>
      </c>
      <c r="D27" s="16">
        <v>0</v>
      </c>
      <c r="E27" s="16">
        <v>0</v>
      </c>
      <c r="F27" s="16">
        <v>0</v>
      </c>
      <c r="G27" s="16">
        <v>1</v>
      </c>
      <c r="H27" s="16">
        <v>0</v>
      </c>
      <c r="I27" s="16">
        <v>1</v>
      </c>
      <c r="J27" s="16">
        <v>0</v>
      </c>
      <c r="K27" s="16">
        <v>0</v>
      </c>
      <c r="L27" s="16">
        <v>0</v>
      </c>
      <c r="M27" s="16">
        <v>1</v>
      </c>
      <c r="N27" s="16">
        <v>0</v>
      </c>
      <c r="O27" s="16">
        <v>1</v>
      </c>
    </row>
    <row r="28" spans="1:15" x14ac:dyDescent="0.35">
      <c r="A28" s="16" t="s">
        <v>77</v>
      </c>
      <c r="B28" s="17">
        <f t="shared" si="1"/>
        <v>1</v>
      </c>
      <c r="C28" s="17">
        <f t="shared" si="2"/>
        <v>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1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1</v>
      </c>
    </row>
    <row r="29" spans="1:15" x14ac:dyDescent="0.35">
      <c r="A29" s="16" t="s">
        <v>78</v>
      </c>
      <c r="B29" s="17">
        <f t="shared" si="1"/>
        <v>1</v>
      </c>
      <c r="C29" s="17">
        <f t="shared" si="2"/>
        <v>1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1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1</v>
      </c>
    </row>
    <row r="30" spans="1:15" x14ac:dyDescent="0.35">
      <c r="A30" s="16" t="s">
        <v>31</v>
      </c>
      <c r="B30" s="17">
        <f t="shared" si="1"/>
        <v>18</v>
      </c>
      <c r="C30" s="17">
        <f t="shared" si="2"/>
        <v>46</v>
      </c>
      <c r="D30" s="16">
        <v>9</v>
      </c>
      <c r="E30" s="16">
        <v>6</v>
      </c>
      <c r="F30" s="16">
        <v>2</v>
      </c>
      <c r="G30" s="16">
        <v>1</v>
      </c>
      <c r="H30" s="16">
        <v>0</v>
      </c>
      <c r="I30" s="16">
        <v>0</v>
      </c>
      <c r="J30" s="16">
        <v>23</v>
      </c>
      <c r="K30" s="16">
        <v>16</v>
      </c>
      <c r="L30" s="16">
        <v>6</v>
      </c>
      <c r="M30" s="16">
        <v>1</v>
      </c>
      <c r="N30" s="16">
        <v>0</v>
      </c>
      <c r="O30" s="16">
        <v>0</v>
      </c>
    </row>
    <row r="31" spans="1:15" x14ac:dyDescent="0.35">
      <c r="A31" s="16" t="s">
        <v>32</v>
      </c>
      <c r="B31" s="17">
        <f t="shared" si="1"/>
        <v>23</v>
      </c>
      <c r="C31" s="17">
        <f t="shared" si="2"/>
        <v>46</v>
      </c>
      <c r="D31" s="16">
        <v>16</v>
      </c>
      <c r="E31" s="16">
        <v>4</v>
      </c>
      <c r="F31" s="16">
        <v>2</v>
      </c>
      <c r="G31" s="16">
        <v>1</v>
      </c>
      <c r="H31" s="16">
        <v>0</v>
      </c>
      <c r="I31" s="16">
        <v>0</v>
      </c>
      <c r="J31" s="16">
        <v>32</v>
      </c>
      <c r="K31" s="16">
        <v>5</v>
      </c>
      <c r="L31" s="16">
        <v>8</v>
      </c>
      <c r="M31" s="16">
        <v>1</v>
      </c>
      <c r="N31" s="16">
        <v>0</v>
      </c>
      <c r="O31" s="16">
        <v>0</v>
      </c>
    </row>
    <row r="32" spans="1:15" x14ac:dyDescent="0.35">
      <c r="A32" s="16" t="s">
        <v>33</v>
      </c>
      <c r="B32" s="17">
        <f t="shared" si="1"/>
        <v>91</v>
      </c>
      <c r="C32" s="17">
        <f t="shared" si="2"/>
        <v>169</v>
      </c>
      <c r="D32" s="16">
        <v>55</v>
      </c>
      <c r="E32" s="16">
        <v>12</v>
      </c>
      <c r="F32" s="16">
        <v>8</v>
      </c>
      <c r="G32" s="16">
        <v>16</v>
      </c>
      <c r="H32" s="16">
        <v>0</v>
      </c>
      <c r="I32" s="16">
        <v>0</v>
      </c>
      <c r="J32" s="16">
        <v>108</v>
      </c>
      <c r="K32" s="16">
        <v>19</v>
      </c>
      <c r="L32" s="16">
        <v>20</v>
      </c>
      <c r="M32" s="16">
        <v>22</v>
      </c>
      <c r="N32" s="16">
        <v>0</v>
      </c>
      <c r="O32" s="16">
        <v>0</v>
      </c>
    </row>
    <row r="33" spans="1:22" x14ac:dyDescent="0.35">
      <c r="A33" s="16" t="s">
        <v>34</v>
      </c>
      <c r="B33" s="17">
        <f t="shared" si="1"/>
        <v>922</v>
      </c>
      <c r="C33" s="17">
        <f t="shared" si="2"/>
        <v>1935</v>
      </c>
      <c r="D33" s="16">
        <v>609</v>
      </c>
      <c r="E33" s="16">
        <v>200</v>
      </c>
      <c r="F33" s="16">
        <v>47</v>
      </c>
      <c r="G33" s="16">
        <v>66</v>
      </c>
      <c r="H33" s="16">
        <v>0</v>
      </c>
      <c r="I33" s="16">
        <v>0</v>
      </c>
      <c r="J33" s="16">
        <v>1245</v>
      </c>
      <c r="K33" s="16">
        <v>448</v>
      </c>
      <c r="L33" s="16">
        <v>108</v>
      </c>
      <c r="M33" s="16">
        <v>134</v>
      </c>
      <c r="N33" s="16">
        <v>0</v>
      </c>
      <c r="O33" s="16">
        <v>0</v>
      </c>
    </row>
    <row r="34" spans="1:22" x14ac:dyDescent="0.35">
      <c r="A34" s="16" t="s">
        <v>35</v>
      </c>
      <c r="B34" s="17">
        <f t="shared" si="1"/>
        <v>338</v>
      </c>
      <c r="C34" s="17">
        <f t="shared" si="2"/>
        <v>532</v>
      </c>
      <c r="D34" s="16">
        <v>148</v>
      </c>
      <c r="E34" s="16">
        <v>106</v>
      </c>
      <c r="F34" s="16">
        <v>22</v>
      </c>
      <c r="G34" s="16">
        <v>62</v>
      </c>
      <c r="H34" s="16">
        <v>0</v>
      </c>
      <c r="I34" s="16">
        <v>0</v>
      </c>
      <c r="J34" s="16">
        <v>231</v>
      </c>
      <c r="K34" s="16">
        <v>179</v>
      </c>
      <c r="L34" s="16">
        <v>39</v>
      </c>
      <c r="M34" s="16">
        <v>83</v>
      </c>
      <c r="N34" s="16">
        <v>0</v>
      </c>
      <c r="O34" s="16">
        <v>0</v>
      </c>
    </row>
    <row r="35" spans="1:22" x14ac:dyDescent="0.35">
      <c r="A35" s="16" t="s">
        <v>36</v>
      </c>
      <c r="B35" s="17">
        <f t="shared" si="1"/>
        <v>15</v>
      </c>
      <c r="C35" s="17">
        <f t="shared" si="2"/>
        <v>15</v>
      </c>
      <c r="D35" s="16">
        <v>6</v>
      </c>
      <c r="E35" s="16">
        <v>8</v>
      </c>
      <c r="F35" s="16">
        <v>0</v>
      </c>
      <c r="G35" s="16">
        <v>1</v>
      </c>
      <c r="H35" s="16">
        <v>0</v>
      </c>
      <c r="I35" s="16">
        <v>0</v>
      </c>
      <c r="J35" s="16">
        <v>6</v>
      </c>
      <c r="K35" s="16">
        <v>8</v>
      </c>
      <c r="L35" s="16">
        <v>0</v>
      </c>
      <c r="M35" s="16">
        <v>1</v>
      </c>
      <c r="N35" s="16">
        <v>0</v>
      </c>
      <c r="O35" s="16">
        <v>0</v>
      </c>
    </row>
    <row r="36" spans="1:22" x14ac:dyDescent="0.35">
      <c r="A36" s="16" t="s">
        <v>37</v>
      </c>
      <c r="B36" s="17">
        <f t="shared" si="1"/>
        <v>194</v>
      </c>
      <c r="C36" s="17">
        <f t="shared" si="2"/>
        <v>401</v>
      </c>
      <c r="D36" s="16">
        <v>98</v>
      </c>
      <c r="E36" s="16">
        <v>69</v>
      </c>
      <c r="F36" s="16">
        <v>14</v>
      </c>
      <c r="G36" s="16">
        <v>13</v>
      </c>
      <c r="H36" s="16">
        <v>0</v>
      </c>
      <c r="I36" s="16">
        <v>0</v>
      </c>
      <c r="J36" s="16">
        <v>215</v>
      </c>
      <c r="K36" s="16">
        <v>146</v>
      </c>
      <c r="L36" s="16">
        <v>24</v>
      </c>
      <c r="M36" s="16">
        <v>16</v>
      </c>
      <c r="N36" s="16">
        <v>0</v>
      </c>
      <c r="O36" s="16">
        <v>0</v>
      </c>
    </row>
    <row r="37" spans="1:22" x14ac:dyDescent="0.35">
      <c r="A37" s="16" t="s">
        <v>38</v>
      </c>
      <c r="B37" s="17">
        <f t="shared" si="1"/>
        <v>61</v>
      </c>
      <c r="C37" s="17">
        <f t="shared" si="2"/>
        <v>147</v>
      </c>
      <c r="D37" s="16">
        <v>38</v>
      </c>
      <c r="E37" s="16">
        <v>11</v>
      </c>
      <c r="F37" s="16">
        <v>3</v>
      </c>
      <c r="G37" s="16">
        <v>8</v>
      </c>
      <c r="H37" s="16">
        <v>0</v>
      </c>
      <c r="I37" s="16">
        <v>1</v>
      </c>
      <c r="J37" s="16">
        <v>91</v>
      </c>
      <c r="K37" s="16">
        <v>28</v>
      </c>
      <c r="L37" s="16">
        <v>9</v>
      </c>
      <c r="M37" s="16">
        <v>18</v>
      </c>
      <c r="N37" s="16">
        <v>0</v>
      </c>
      <c r="O37" s="16">
        <v>1</v>
      </c>
    </row>
    <row r="38" spans="1:22" x14ac:dyDescent="0.35">
      <c r="A38" s="16" t="s">
        <v>39</v>
      </c>
      <c r="B38" s="17">
        <f t="shared" si="1"/>
        <v>55</v>
      </c>
      <c r="C38" s="17">
        <f t="shared" si="2"/>
        <v>100</v>
      </c>
      <c r="D38" s="16">
        <v>35</v>
      </c>
      <c r="E38" s="16">
        <v>15</v>
      </c>
      <c r="F38" s="16">
        <v>1</v>
      </c>
      <c r="G38" s="16">
        <v>4</v>
      </c>
      <c r="H38" s="16">
        <v>0</v>
      </c>
      <c r="I38" s="16">
        <v>0</v>
      </c>
      <c r="J38" s="16">
        <v>68</v>
      </c>
      <c r="K38" s="16">
        <v>24</v>
      </c>
      <c r="L38" s="16">
        <v>1</v>
      </c>
      <c r="M38" s="16">
        <v>7</v>
      </c>
      <c r="N38" s="16">
        <v>0</v>
      </c>
      <c r="O38" s="16">
        <v>0</v>
      </c>
    </row>
    <row r="39" spans="1:22" x14ac:dyDescent="0.35">
      <c r="A39" s="16" t="s">
        <v>40</v>
      </c>
      <c r="B39" s="17">
        <f t="shared" si="1"/>
        <v>80</v>
      </c>
      <c r="C39" s="17">
        <f t="shared" si="2"/>
        <v>163</v>
      </c>
      <c r="D39" s="16">
        <v>25</v>
      </c>
      <c r="E39" s="16">
        <v>31</v>
      </c>
      <c r="F39" s="16">
        <v>12</v>
      </c>
      <c r="G39" s="16">
        <v>12</v>
      </c>
      <c r="H39" s="16">
        <v>0</v>
      </c>
      <c r="I39" s="16">
        <v>0</v>
      </c>
      <c r="J39" s="16">
        <v>54</v>
      </c>
      <c r="K39" s="16">
        <v>64</v>
      </c>
      <c r="L39" s="16">
        <v>26</v>
      </c>
      <c r="M39" s="16">
        <v>19</v>
      </c>
      <c r="N39" s="16">
        <v>0</v>
      </c>
      <c r="O39" s="16">
        <v>0</v>
      </c>
    </row>
    <row r="40" spans="1:22" x14ac:dyDescent="0.35">
      <c r="A40" s="16" t="s">
        <v>41</v>
      </c>
      <c r="B40" s="17">
        <f t="shared" si="1"/>
        <v>12</v>
      </c>
      <c r="C40" s="17">
        <f t="shared" si="2"/>
        <v>22</v>
      </c>
      <c r="D40" s="16">
        <v>3</v>
      </c>
      <c r="E40" s="16">
        <v>6</v>
      </c>
      <c r="F40" s="16">
        <v>1</v>
      </c>
      <c r="G40" s="16">
        <v>2</v>
      </c>
      <c r="H40" s="16">
        <v>0</v>
      </c>
      <c r="I40" s="16">
        <v>0</v>
      </c>
      <c r="J40" s="16">
        <v>5</v>
      </c>
      <c r="K40" s="16">
        <v>11</v>
      </c>
      <c r="L40" s="16">
        <v>2</v>
      </c>
      <c r="M40" s="16">
        <v>4</v>
      </c>
      <c r="N40" s="16">
        <v>0</v>
      </c>
      <c r="O40" s="16">
        <v>0</v>
      </c>
    </row>
    <row r="41" spans="1:22" x14ac:dyDescent="0.35">
      <c r="A41" s="16" t="s">
        <v>42</v>
      </c>
      <c r="B41" s="17">
        <f t="shared" si="1"/>
        <v>23</v>
      </c>
      <c r="C41" s="17">
        <f t="shared" si="2"/>
        <v>42</v>
      </c>
      <c r="D41" s="16">
        <v>13</v>
      </c>
      <c r="E41" s="16">
        <v>6</v>
      </c>
      <c r="F41" s="16">
        <v>2</v>
      </c>
      <c r="G41" s="16">
        <v>2</v>
      </c>
      <c r="H41" s="16">
        <v>0</v>
      </c>
      <c r="I41" s="16">
        <v>0</v>
      </c>
      <c r="J41" s="16">
        <v>23</v>
      </c>
      <c r="K41" s="16">
        <v>11</v>
      </c>
      <c r="L41" s="16">
        <v>4</v>
      </c>
      <c r="M41" s="16">
        <v>4</v>
      </c>
      <c r="N41" s="16">
        <v>0</v>
      </c>
      <c r="O41" s="16">
        <v>0</v>
      </c>
    </row>
    <row r="42" spans="1:22" x14ac:dyDescent="0.35">
      <c r="A42" s="18">
        <v>3753</v>
      </c>
      <c r="B42" s="19">
        <f t="shared" si="1"/>
        <v>560</v>
      </c>
      <c r="C42" s="19">
        <f t="shared" si="2"/>
        <v>955</v>
      </c>
      <c r="D42" s="19">
        <f t="shared" ref="D42:O42" si="3">SUM(D43:D46)</f>
        <v>334</v>
      </c>
      <c r="E42" s="19">
        <f t="shared" si="3"/>
        <v>141</v>
      </c>
      <c r="F42" s="19">
        <f t="shared" si="3"/>
        <v>17</v>
      </c>
      <c r="G42" s="19">
        <f t="shared" si="3"/>
        <v>68</v>
      </c>
      <c r="H42" s="19">
        <f t="shared" si="3"/>
        <v>0</v>
      </c>
      <c r="I42" s="19">
        <f t="shared" si="3"/>
        <v>0</v>
      </c>
      <c r="J42" s="19">
        <f t="shared" si="3"/>
        <v>550</v>
      </c>
      <c r="K42" s="19">
        <f t="shared" si="3"/>
        <v>258</v>
      </c>
      <c r="L42" s="19">
        <f t="shared" si="3"/>
        <v>35</v>
      </c>
      <c r="M42" s="19">
        <f t="shared" si="3"/>
        <v>112</v>
      </c>
      <c r="N42" s="19">
        <f t="shared" si="3"/>
        <v>0</v>
      </c>
      <c r="O42" s="19">
        <f t="shared" si="3"/>
        <v>0</v>
      </c>
    </row>
    <row r="43" spans="1:22" x14ac:dyDescent="0.35">
      <c r="A43" s="16" t="s">
        <v>43</v>
      </c>
      <c r="B43" s="20">
        <f t="shared" si="1"/>
        <v>78</v>
      </c>
      <c r="C43" s="20">
        <f t="shared" si="2"/>
        <v>135</v>
      </c>
      <c r="D43" s="16">
        <v>43</v>
      </c>
      <c r="E43" s="16">
        <v>23</v>
      </c>
      <c r="F43" s="16">
        <v>4</v>
      </c>
      <c r="G43" s="16">
        <v>8</v>
      </c>
      <c r="H43" s="16">
        <v>0</v>
      </c>
      <c r="I43" s="16">
        <v>0</v>
      </c>
      <c r="J43" s="16">
        <v>70</v>
      </c>
      <c r="K43" s="16">
        <v>37</v>
      </c>
      <c r="L43" s="16">
        <v>11</v>
      </c>
      <c r="M43" s="16">
        <v>17</v>
      </c>
      <c r="N43" s="16">
        <v>0</v>
      </c>
      <c r="O43" s="16">
        <v>0</v>
      </c>
      <c r="P43" s="15"/>
      <c r="Q43" s="15"/>
      <c r="R43" s="15"/>
      <c r="S43" s="15"/>
      <c r="T43" s="15"/>
      <c r="U43" s="15"/>
      <c r="V43" s="15"/>
    </row>
    <row r="44" spans="1:22" x14ac:dyDescent="0.35">
      <c r="A44" s="16" t="s">
        <v>44</v>
      </c>
      <c r="B44" s="20">
        <f t="shared" si="1"/>
        <v>53</v>
      </c>
      <c r="C44" s="20">
        <f t="shared" si="2"/>
        <v>94</v>
      </c>
      <c r="D44" s="16">
        <v>33</v>
      </c>
      <c r="E44" s="16">
        <v>19</v>
      </c>
      <c r="F44" s="16">
        <v>0</v>
      </c>
      <c r="G44" s="16">
        <v>1</v>
      </c>
      <c r="H44" s="16">
        <v>0</v>
      </c>
      <c r="I44" s="16">
        <v>0</v>
      </c>
      <c r="J44" s="16">
        <v>52</v>
      </c>
      <c r="K44" s="16">
        <v>40</v>
      </c>
      <c r="L44" s="16">
        <v>0</v>
      </c>
      <c r="M44" s="16">
        <v>2</v>
      </c>
      <c r="N44" s="16">
        <v>0</v>
      </c>
      <c r="O44" s="16">
        <v>0</v>
      </c>
    </row>
    <row r="45" spans="1:22" x14ac:dyDescent="0.35">
      <c r="A45" s="16" t="s">
        <v>45</v>
      </c>
      <c r="B45" s="20">
        <f t="shared" si="1"/>
        <v>110</v>
      </c>
      <c r="C45" s="20">
        <f t="shared" si="2"/>
        <v>192</v>
      </c>
      <c r="D45" s="16">
        <v>71</v>
      </c>
      <c r="E45" s="16">
        <v>33</v>
      </c>
      <c r="F45" s="16">
        <v>3</v>
      </c>
      <c r="G45" s="16">
        <v>3</v>
      </c>
      <c r="H45" s="16">
        <v>0</v>
      </c>
      <c r="I45" s="16">
        <v>0</v>
      </c>
      <c r="J45" s="16">
        <v>110</v>
      </c>
      <c r="K45" s="16">
        <v>72</v>
      </c>
      <c r="L45" s="16">
        <v>5</v>
      </c>
      <c r="M45" s="16">
        <v>5</v>
      </c>
      <c r="N45" s="16">
        <v>0</v>
      </c>
      <c r="O45" s="16">
        <v>0</v>
      </c>
    </row>
    <row r="46" spans="1:22" x14ac:dyDescent="0.35">
      <c r="A46" s="16" t="s">
        <v>46</v>
      </c>
      <c r="B46" s="20">
        <f t="shared" si="1"/>
        <v>319</v>
      </c>
      <c r="C46" s="20">
        <f t="shared" si="2"/>
        <v>534</v>
      </c>
      <c r="D46" s="16">
        <v>187</v>
      </c>
      <c r="E46" s="16">
        <v>66</v>
      </c>
      <c r="F46" s="16">
        <v>10</v>
      </c>
      <c r="G46" s="16">
        <v>56</v>
      </c>
      <c r="H46" s="16">
        <v>0</v>
      </c>
      <c r="I46" s="16">
        <v>0</v>
      </c>
      <c r="J46" s="16">
        <v>318</v>
      </c>
      <c r="K46" s="16">
        <v>109</v>
      </c>
      <c r="L46" s="16">
        <v>19</v>
      </c>
      <c r="M46" s="16">
        <v>88</v>
      </c>
      <c r="N46" s="16">
        <v>0</v>
      </c>
      <c r="O46" s="16">
        <v>0</v>
      </c>
    </row>
    <row r="47" spans="1:22" x14ac:dyDescent="0.35">
      <c r="A47" s="18">
        <v>3754</v>
      </c>
      <c r="B47" s="19">
        <f t="shared" si="1"/>
        <v>179</v>
      </c>
      <c r="C47" s="19">
        <f t="shared" si="2"/>
        <v>288</v>
      </c>
      <c r="D47" s="19">
        <f t="shared" ref="D47:O47" si="4">SUM(D48:D50)</f>
        <v>112</v>
      </c>
      <c r="E47" s="19">
        <f t="shared" si="4"/>
        <v>28</v>
      </c>
      <c r="F47" s="19">
        <f t="shared" si="4"/>
        <v>9</v>
      </c>
      <c r="G47" s="19">
        <f t="shared" si="4"/>
        <v>30</v>
      </c>
      <c r="H47" s="19">
        <f t="shared" si="4"/>
        <v>0</v>
      </c>
      <c r="I47" s="19">
        <f t="shared" si="4"/>
        <v>0</v>
      </c>
      <c r="J47" s="19">
        <f t="shared" si="4"/>
        <v>173</v>
      </c>
      <c r="K47" s="19">
        <f t="shared" si="4"/>
        <v>49</v>
      </c>
      <c r="L47" s="19">
        <f t="shared" si="4"/>
        <v>21</v>
      </c>
      <c r="M47" s="19">
        <f t="shared" si="4"/>
        <v>45</v>
      </c>
      <c r="N47" s="19">
        <f t="shared" si="4"/>
        <v>0</v>
      </c>
      <c r="O47" s="19">
        <f t="shared" si="4"/>
        <v>0</v>
      </c>
    </row>
    <row r="48" spans="1:22" x14ac:dyDescent="0.35">
      <c r="A48" s="16" t="s">
        <v>47</v>
      </c>
      <c r="B48" s="20">
        <f t="shared" si="1"/>
        <v>25</v>
      </c>
      <c r="C48" s="20">
        <f t="shared" si="2"/>
        <v>37</v>
      </c>
      <c r="D48" s="16">
        <v>14</v>
      </c>
      <c r="E48" s="16">
        <v>6</v>
      </c>
      <c r="F48" s="16">
        <v>3</v>
      </c>
      <c r="G48" s="16">
        <v>2</v>
      </c>
      <c r="H48" s="16">
        <v>0</v>
      </c>
      <c r="I48" s="16">
        <v>0</v>
      </c>
      <c r="J48" s="16">
        <v>20</v>
      </c>
      <c r="K48" s="16">
        <v>7</v>
      </c>
      <c r="L48" s="16">
        <v>6</v>
      </c>
      <c r="M48" s="16">
        <v>4</v>
      </c>
      <c r="N48" s="16">
        <v>0</v>
      </c>
      <c r="O48" s="16">
        <v>0</v>
      </c>
      <c r="P48" s="15"/>
      <c r="Q48" s="15"/>
      <c r="R48" s="15"/>
      <c r="S48" s="15"/>
      <c r="T48" s="15"/>
      <c r="U48" s="15"/>
      <c r="V48" s="15"/>
    </row>
    <row r="49" spans="1:15" x14ac:dyDescent="0.35">
      <c r="A49" s="16" t="s">
        <v>48</v>
      </c>
      <c r="B49" s="20">
        <f t="shared" si="1"/>
        <v>118</v>
      </c>
      <c r="C49" s="20">
        <f t="shared" si="2"/>
        <v>190</v>
      </c>
      <c r="D49" s="16">
        <v>75</v>
      </c>
      <c r="E49" s="16">
        <v>16</v>
      </c>
      <c r="F49" s="16">
        <v>4</v>
      </c>
      <c r="G49" s="16">
        <v>23</v>
      </c>
      <c r="H49" s="16">
        <v>0</v>
      </c>
      <c r="I49" s="16">
        <v>0</v>
      </c>
      <c r="J49" s="16">
        <v>118</v>
      </c>
      <c r="K49" s="16">
        <v>29</v>
      </c>
      <c r="L49" s="16">
        <v>7</v>
      </c>
      <c r="M49" s="16">
        <v>36</v>
      </c>
      <c r="N49" s="16">
        <v>0</v>
      </c>
      <c r="O49" s="16">
        <v>0</v>
      </c>
    </row>
    <row r="50" spans="1:15" x14ac:dyDescent="0.35">
      <c r="A50" s="16" t="s">
        <v>49</v>
      </c>
      <c r="B50" s="20">
        <f t="shared" si="1"/>
        <v>36</v>
      </c>
      <c r="C50" s="20">
        <f t="shared" si="2"/>
        <v>61</v>
      </c>
      <c r="D50" s="16">
        <v>23</v>
      </c>
      <c r="E50" s="16">
        <v>6</v>
      </c>
      <c r="F50" s="16">
        <v>2</v>
      </c>
      <c r="G50" s="16">
        <v>5</v>
      </c>
      <c r="H50" s="16">
        <v>0</v>
      </c>
      <c r="I50" s="16">
        <v>0</v>
      </c>
      <c r="J50" s="16">
        <v>35</v>
      </c>
      <c r="K50" s="16">
        <v>13</v>
      </c>
      <c r="L50" s="16">
        <v>8</v>
      </c>
      <c r="M50" s="16">
        <v>5</v>
      </c>
      <c r="N50" s="16">
        <v>0</v>
      </c>
      <c r="O50" s="16">
        <v>0</v>
      </c>
    </row>
    <row r="51" spans="1:15" x14ac:dyDescent="0.35">
      <c r="A51" s="23" t="s">
        <v>50</v>
      </c>
      <c r="B51" s="23">
        <f t="shared" ref="B51:O51" si="5">B4+B42+B47</f>
        <v>5056</v>
      </c>
      <c r="C51" s="23">
        <f t="shared" si="5"/>
        <v>9958</v>
      </c>
      <c r="D51" s="23">
        <f t="shared" si="5"/>
        <v>2577</v>
      </c>
      <c r="E51" s="23">
        <f t="shared" si="5"/>
        <v>1011</v>
      </c>
      <c r="F51" s="23">
        <f t="shared" si="5"/>
        <v>219</v>
      </c>
      <c r="G51" s="23">
        <f t="shared" si="5"/>
        <v>457</v>
      </c>
      <c r="H51" s="23">
        <f t="shared" si="5"/>
        <v>2</v>
      </c>
      <c r="I51" s="23">
        <f t="shared" si="5"/>
        <v>12</v>
      </c>
      <c r="J51" s="23">
        <f t="shared" si="5"/>
        <v>5016</v>
      </c>
      <c r="K51" s="23">
        <f t="shared" si="5"/>
        <v>2245</v>
      </c>
      <c r="L51" s="23">
        <f t="shared" si="5"/>
        <v>479</v>
      </c>
      <c r="M51" s="23">
        <f t="shared" si="5"/>
        <v>782</v>
      </c>
      <c r="N51" s="23">
        <f t="shared" si="5"/>
        <v>2</v>
      </c>
      <c r="O51" s="23">
        <f t="shared" si="5"/>
        <v>12</v>
      </c>
    </row>
    <row r="53" spans="1:15" ht="20" x14ac:dyDescent="0.35">
      <c r="A53" s="3" t="s">
        <v>51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x14ac:dyDescent="0.35">
      <c r="A54" s="2" t="s">
        <v>52</v>
      </c>
      <c r="B54" s="1" t="s">
        <v>8</v>
      </c>
      <c r="C54" s="1"/>
      <c r="D54" s="1" t="s">
        <v>9</v>
      </c>
      <c r="E54" s="1"/>
      <c r="F54" s="1" t="s">
        <v>10</v>
      </c>
      <c r="G54" s="1"/>
      <c r="H54" s="1" t="s">
        <v>11</v>
      </c>
      <c r="I54" s="1"/>
      <c r="J54" s="1" t="s">
        <v>68</v>
      </c>
      <c r="K54" s="1"/>
      <c r="L54" s="1" t="s">
        <v>79</v>
      </c>
      <c r="M54" s="1"/>
      <c r="N54" s="1" t="s">
        <v>53</v>
      </c>
      <c r="O54" s="1" t="s">
        <v>54</v>
      </c>
    </row>
    <row r="55" spans="1:15" x14ac:dyDescent="0.35">
      <c r="A55" s="2"/>
      <c r="B55" s="25" t="s">
        <v>55</v>
      </c>
      <c r="C55" s="25" t="s">
        <v>7</v>
      </c>
      <c r="D55" s="25" t="s">
        <v>55</v>
      </c>
      <c r="E55" s="25" t="s">
        <v>7</v>
      </c>
      <c r="F55" s="25" t="s">
        <v>55</v>
      </c>
      <c r="G55" s="25" t="s">
        <v>7</v>
      </c>
      <c r="H55" s="25" t="s">
        <v>55</v>
      </c>
      <c r="I55" s="25" t="s">
        <v>7</v>
      </c>
      <c r="J55" s="25" t="s">
        <v>55</v>
      </c>
      <c r="K55" s="25" t="s">
        <v>7</v>
      </c>
      <c r="L55" s="25" t="s">
        <v>55</v>
      </c>
      <c r="M55" s="25" t="s">
        <v>7</v>
      </c>
      <c r="N55" s="1" t="s">
        <v>53</v>
      </c>
      <c r="O55" s="1" t="s">
        <v>56</v>
      </c>
    </row>
    <row r="56" spans="1:15" x14ac:dyDescent="0.35">
      <c r="A56" s="30" t="s">
        <v>80</v>
      </c>
      <c r="B56" s="31">
        <v>104</v>
      </c>
      <c r="C56" s="31">
        <v>104</v>
      </c>
      <c r="D56" s="31">
        <v>43</v>
      </c>
      <c r="E56" s="31">
        <v>43</v>
      </c>
      <c r="F56" s="31">
        <v>25</v>
      </c>
      <c r="G56" s="31">
        <v>26</v>
      </c>
      <c r="H56" s="31">
        <v>0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26">
        <f t="shared" ref="N56:O59" si="6">SUM(B56+D56+F56+H56+J56+L56)</f>
        <v>172</v>
      </c>
      <c r="O56" s="26">
        <f t="shared" si="6"/>
        <v>173</v>
      </c>
    </row>
    <row r="57" spans="1:15" x14ac:dyDescent="0.35">
      <c r="A57" s="30" t="s">
        <v>57</v>
      </c>
      <c r="B57" s="31">
        <v>2372</v>
      </c>
      <c r="C57" s="31">
        <v>5322</v>
      </c>
      <c r="D57" s="31">
        <v>983</v>
      </c>
      <c r="E57" s="31">
        <v>2562</v>
      </c>
      <c r="F57" s="31">
        <v>214</v>
      </c>
      <c r="G57" s="31">
        <v>527</v>
      </c>
      <c r="H57" s="31">
        <v>490</v>
      </c>
      <c r="I57" s="31">
        <v>897</v>
      </c>
      <c r="J57" s="31">
        <v>0</v>
      </c>
      <c r="K57" s="31">
        <v>0</v>
      </c>
      <c r="L57" s="31">
        <v>1</v>
      </c>
      <c r="M57" s="31">
        <v>1</v>
      </c>
      <c r="N57" s="26">
        <f t="shared" si="6"/>
        <v>4060</v>
      </c>
      <c r="O57" s="26">
        <f t="shared" si="6"/>
        <v>9309</v>
      </c>
    </row>
    <row r="58" spans="1:15" x14ac:dyDescent="0.35">
      <c r="A58" s="30" t="s">
        <v>69</v>
      </c>
      <c r="B58" s="31">
        <v>0</v>
      </c>
      <c r="C58" s="31">
        <v>0</v>
      </c>
      <c r="D58" s="31">
        <v>1</v>
      </c>
      <c r="E58" s="31">
        <v>1</v>
      </c>
      <c r="F58" s="31">
        <v>0</v>
      </c>
      <c r="G58" s="31">
        <v>0</v>
      </c>
      <c r="H58" s="31">
        <v>1</v>
      </c>
      <c r="I58" s="31">
        <v>1</v>
      </c>
      <c r="J58" s="31">
        <v>7</v>
      </c>
      <c r="K58" s="31">
        <v>12</v>
      </c>
      <c r="L58" s="31">
        <v>0</v>
      </c>
      <c r="M58" s="31">
        <v>0</v>
      </c>
      <c r="N58" s="26">
        <f t="shared" si="6"/>
        <v>9</v>
      </c>
      <c r="O58" s="26">
        <f t="shared" si="6"/>
        <v>14</v>
      </c>
    </row>
    <row r="59" spans="1:15" x14ac:dyDescent="0.35">
      <c r="A59" s="30" t="s">
        <v>58</v>
      </c>
      <c r="B59" s="31">
        <v>163</v>
      </c>
      <c r="C59" s="31">
        <v>325</v>
      </c>
      <c r="D59" s="31">
        <v>52</v>
      </c>
      <c r="E59" s="31">
        <v>99</v>
      </c>
      <c r="F59" s="31">
        <v>5</v>
      </c>
      <c r="G59" s="31">
        <v>14</v>
      </c>
      <c r="H59" s="31">
        <v>11</v>
      </c>
      <c r="I59" s="31">
        <v>23</v>
      </c>
      <c r="J59" s="31">
        <v>1</v>
      </c>
      <c r="K59" s="31">
        <v>1</v>
      </c>
      <c r="L59" s="31">
        <v>0</v>
      </c>
      <c r="M59" s="31">
        <v>0</v>
      </c>
      <c r="N59" s="26">
        <f t="shared" si="6"/>
        <v>232</v>
      </c>
      <c r="O59" s="26">
        <f t="shared" si="6"/>
        <v>462</v>
      </c>
    </row>
    <row r="60" spans="1:15" x14ac:dyDescent="0.35">
      <c r="A60" s="27" t="s">
        <v>59</v>
      </c>
      <c r="B60" s="28">
        <f t="shared" ref="B60:M60" si="7">SUM(B57:B58)</f>
        <v>2372</v>
      </c>
      <c r="C60" s="28">
        <f t="shared" si="7"/>
        <v>5322</v>
      </c>
      <c r="D60" s="28">
        <f t="shared" si="7"/>
        <v>984</v>
      </c>
      <c r="E60" s="28">
        <f t="shared" si="7"/>
        <v>2563</v>
      </c>
      <c r="F60" s="28">
        <f t="shared" si="7"/>
        <v>214</v>
      </c>
      <c r="G60" s="28">
        <f t="shared" si="7"/>
        <v>527</v>
      </c>
      <c r="H60" s="28">
        <f t="shared" si="7"/>
        <v>491</v>
      </c>
      <c r="I60" s="28">
        <f t="shared" si="7"/>
        <v>898</v>
      </c>
      <c r="J60" s="28">
        <f t="shared" si="7"/>
        <v>7</v>
      </c>
      <c r="K60" s="28">
        <f t="shared" si="7"/>
        <v>12</v>
      </c>
      <c r="L60" s="28">
        <f t="shared" si="7"/>
        <v>1</v>
      </c>
      <c r="M60" s="28">
        <f t="shared" si="7"/>
        <v>1</v>
      </c>
      <c r="N60" s="28">
        <f>SUM(N56:N59)</f>
        <v>4473</v>
      </c>
      <c r="O60" s="28">
        <f>SUM(O56:O59)</f>
        <v>9958</v>
      </c>
    </row>
  </sheetData>
  <mergeCells count="14">
    <mergeCell ref="J54:K54"/>
    <mergeCell ref="L54:M54"/>
    <mergeCell ref="N54:N55"/>
    <mergeCell ref="O54:O55"/>
    <mergeCell ref="A54:A55"/>
    <mergeCell ref="B54:C54"/>
    <mergeCell ref="D54:E54"/>
    <mergeCell ref="F54:G54"/>
    <mergeCell ref="H54:I54"/>
    <mergeCell ref="A1:N1"/>
    <mergeCell ref="B2:C2"/>
    <mergeCell ref="D2:I2"/>
    <mergeCell ref="J2:N2"/>
    <mergeCell ref="A53:O53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6"/>
  <sheetViews>
    <sheetView topLeftCell="M1" zoomScale="80" zoomScaleNormal="80" workbookViewId="0">
      <pane ySplit="3" topLeftCell="A55" activePane="bottomLeft" state="frozen"/>
      <selection activeCell="M1" sqref="M1"/>
      <selection pane="bottomLeft" activeCell="T59" sqref="T59"/>
    </sheetView>
  </sheetViews>
  <sheetFormatPr baseColWidth="10" defaultColWidth="15.1796875" defaultRowHeight="14.5" x14ac:dyDescent="0.35"/>
  <cols>
    <col min="1" max="1" width="47.08984375" customWidth="1"/>
    <col min="2" max="2" width="12.81640625" customWidth="1"/>
    <col min="3" max="3" width="6.54296875" customWidth="1"/>
    <col min="4" max="4" width="12.26953125" customWidth="1"/>
    <col min="5" max="5" width="10.26953125" customWidth="1"/>
    <col min="6" max="6" width="11" customWidth="1"/>
    <col min="7" max="7" width="8.453125" customWidth="1"/>
    <col min="8" max="9" width="6.90625" customWidth="1"/>
    <col min="10" max="10" width="7.08984375" customWidth="1"/>
    <col min="11" max="11" width="8" customWidth="1"/>
    <col min="12" max="12" width="8.453125" customWidth="1"/>
    <col min="13" max="14" width="12.453125" customWidth="1"/>
  </cols>
  <sheetData>
    <row r="1" spans="1:22" ht="26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7"/>
    </row>
    <row r="2" spans="1:22" ht="29.9" customHeight="1" x14ac:dyDescent="0.35">
      <c r="A2" s="8" t="s">
        <v>1</v>
      </c>
      <c r="B2" s="5" t="s">
        <v>81</v>
      </c>
      <c r="C2" s="5"/>
      <c r="D2" s="4" t="s">
        <v>3</v>
      </c>
      <c r="E2" s="4"/>
      <c r="F2" s="4"/>
      <c r="G2" s="4"/>
      <c r="H2" s="4"/>
      <c r="I2" s="4"/>
      <c r="J2" s="4" t="s">
        <v>4</v>
      </c>
      <c r="K2" s="4"/>
      <c r="L2" s="4"/>
      <c r="M2" s="4"/>
      <c r="N2" s="4"/>
      <c r="O2" s="9"/>
    </row>
    <row r="3" spans="1:22" x14ac:dyDescent="0.35">
      <c r="A3" s="10" t="s">
        <v>5</v>
      </c>
      <c r="B3" s="11" t="s">
        <v>6</v>
      </c>
      <c r="C3" s="12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13" t="s">
        <v>12</v>
      </c>
      <c r="I3" s="13" t="s">
        <v>71</v>
      </c>
      <c r="J3" s="13" t="s">
        <v>8</v>
      </c>
      <c r="K3" s="13" t="s">
        <v>9</v>
      </c>
      <c r="L3" s="13" t="s">
        <v>10</v>
      </c>
      <c r="M3" s="13" t="s">
        <v>11</v>
      </c>
      <c r="N3" s="13" t="s">
        <v>12</v>
      </c>
      <c r="O3" s="13" t="s">
        <v>71</v>
      </c>
    </row>
    <row r="4" spans="1:22" x14ac:dyDescent="0.35">
      <c r="A4" s="14">
        <v>3734</v>
      </c>
      <c r="B4" s="14">
        <f t="shared" ref="B4:O4" si="0">SUM(B5:B44)</f>
        <v>4418</v>
      </c>
      <c r="C4" s="14">
        <f t="shared" si="0"/>
        <v>9128</v>
      </c>
      <c r="D4" s="14">
        <f t="shared" si="0"/>
        <v>2503</v>
      </c>
      <c r="E4" s="14">
        <f t="shared" si="0"/>
        <v>1130</v>
      </c>
      <c r="F4" s="14">
        <f t="shared" si="0"/>
        <v>244</v>
      </c>
      <c r="G4" s="14">
        <f t="shared" si="0"/>
        <v>509</v>
      </c>
      <c r="H4" s="14">
        <f t="shared" si="0"/>
        <v>32</v>
      </c>
      <c r="I4" s="14">
        <f t="shared" si="0"/>
        <v>0</v>
      </c>
      <c r="J4" s="14">
        <f t="shared" si="0"/>
        <v>5193</v>
      </c>
      <c r="K4" s="14">
        <f t="shared" si="0"/>
        <v>2459</v>
      </c>
      <c r="L4" s="14">
        <f t="shared" si="0"/>
        <v>497</v>
      </c>
      <c r="M4" s="14">
        <f t="shared" si="0"/>
        <v>943</v>
      </c>
      <c r="N4" s="14">
        <f t="shared" si="0"/>
        <v>36</v>
      </c>
      <c r="O4" s="14">
        <f t="shared" si="0"/>
        <v>0</v>
      </c>
      <c r="P4" s="15"/>
      <c r="Q4" s="15"/>
      <c r="R4" s="15"/>
      <c r="S4" s="15"/>
      <c r="T4" s="15"/>
      <c r="U4" s="15"/>
      <c r="V4" s="15"/>
    </row>
    <row r="5" spans="1:22" x14ac:dyDescent="0.35">
      <c r="A5" s="16" t="s">
        <v>13</v>
      </c>
      <c r="B5" s="17">
        <f t="shared" ref="B5:B36" si="1">SUM(D5:I5)</f>
        <v>10</v>
      </c>
      <c r="C5" s="17">
        <f t="shared" ref="C5:C36" si="2">SUM(J5:O5)</f>
        <v>20</v>
      </c>
      <c r="D5" s="16">
        <v>4</v>
      </c>
      <c r="E5" s="16">
        <v>3</v>
      </c>
      <c r="F5" s="16">
        <v>1</v>
      </c>
      <c r="G5" s="16">
        <v>2</v>
      </c>
      <c r="H5" s="16">
        <v>0</v>
      </c>
      <c r="I5" s="16">
        <v>0</v>
      </c>
      <c r="J5" s="16">
        <v>11</v>
      </c>
      <c r="K5" s="16">
        <v>5</v>
      </c>
      <c r="L5" s="16">
        <v>1</v>
      </c>
      <c r="M5" s="16">
        <v>3</v>
      </c>
      <c r="N5" s="16">
        <v>0</v>
      </c>
      <c r="O5" s="16">
        <v>0</v>
      </c>
    </row>
    <row r="6" spans="1:22" x14ac:dyDescent="0.35">
      <c r="A6" s="16" t="s">
        <v>14</v>
      </c>
      <c r="B6" s="17">
        <f t="shared" si="1"/>
        <v>148</v>
      </c>
      <c r="C6" s="17">
        <f t="shared" si="2"/>
        <v>247</v>
      </c>
      <c r="D6" s="16">
        <v>79</v>
      </c>
      <c r="E6" s="16">
        <v>35</v>
      </c>
      <c r="F6" s="16">
        <v>15</v>
      </c>
      <c r="G6" s="16">
        <v>19</v>
      </c>
      <c r="H6" s="16">
        <v>0</v>
      </c>
      <c r="I6" s="16">
        <v>0</v>
      </c>
      <c r="J6" s="16">
        <v>138</v>
      </c>
      <c r="K6" s="16">
        <v>55</v>
      </c>
      <c r="L6" s="16">
        <v>21</v>
      </c>
      <c r="M6" s="16">
        <v>33</v>
      </c>
      <c r="N6" s="16">
        <v>0</v>
      </c>
      <c r="O6" s="16">
        <v>0</v>
      </c>
    </row>
    <row r="7" spans="1:22" x14ac:dyDescent="0.35">
      <c r="A7" s="16" t="s">
        <v>15</v>
      </c>
      <c r="B7" s="17">
        <f t="shared" si="1"/>
        <v>21</v>
      </c>
      <c r="C7" s="17">
        <f t="shared" si="2"/>
        <v>47</v>
      </c>
      <c r="D7" s="16">
        <v>11</v>
      </c>
      <c r="E7" s="16">
        <v>8</v>
      </c>
      <c r="F7" s="16">
        <v>0</v>
      </c>
      <c r="G7" s="16">
        <v>2</v>
      </c>
      <c r="H7" s="16">
        <v>0</v>
      </c>
      <c r="I7" s="16">
        <v>0</v>
      </c>
      <c r="J7" s="16">
        <v>27</v>
      </c>
      <c r="K7" s="16">
        <v>18</v>
      </c>
      <c r="L7" s="16">
        <v>0</v>
      </c>
      <c r="M7" s="16">
        <v>2</v>
      </c>
      <c r="N7" s="16">
        <v>0</v>
      </c>
      <c r="O7" s="16">
        <v>0</v>
      </c>
    </row>
    <row r="8" spans="1:22" x14ac:dyDescent="0.35">
      <c r="A8" s="16" t="s">
        <v>16</v>
      </c>
      <c r="B8" s="17">
        <f t="shared" si="1"/>
        <v>131</v>
      </c>
      <c r="C8" s="17">
        <f t="shared" si="2"/>
        <v>390</v>
      </c>
      <c r="D8" s="16">
        <v>72</v>
      </c>
      <c r="E8" s="16">
        <v>28</v>
      </c>
      <c r="F8" s="16">
        <v>11</v>
      </c>
      <c r="G8" s="16">
        <v>20</v>
      </c>
      <c r="H8" s="16">
        <v>0</v>
      </c>
      <c r="I8" s="16">
        <v>0</v>
      </c>
      <c r="J8" s="16">
        <v>220</v>
      </c>
      <c r="K8" s="16">
        <v>94</v>
      </c>
      <c r="L8" s="16">
        <v>35</v>
      </c>
      <c r="M8" s="16">
        <v>41</v>
      </c>
      <c r="N8" s="16">
        <v>0</v>
      </c>
      <c r="O8" s="16">
        <v>0</v>
      </c>
    </row>
    <row r="9" spans="1:22" x14ac:dyDescent="0.35">
      <c r="A9" s="16" t="s">
        <v>18</v>
      </c>
      <c r="B9" s="17">
        <f t="shared" si="1"/>
        <v>745</v>
      </c>
      <c r="C9" s="17">
        <f t="shared" si="2"/>
        <v>1692</v>
      </c>
      <c r="D9" s="16">
        <v>424</v>
      </c>
      <c r="E9" s="16">
        <v>185</v>
      </c>
      <c r="F9" s="16">
        <v>39</v>
      </c>
      <c r="G9" s="16">
        <v>97</v>
      </c>
      <c r="H9" s="16">
        <v>0</v>
      </c>
      <c r="I9" s="16">
        <v>0</v>
      </c>
      <c r="J9" s="16">
        <v>922</v>
      </c>
      <c r="K9" s="16">
        <v>493</v>
      </c>
      <c r="L9" s="16">
        <v>80</v>
      </c>
      <c r="M9" s="16">
        <v>197</v>
      </c>
      <c r="N9" s="16">
        <v>0</v>
      </c>
      <c r="O9" s="16">
        <v>0</v>
      </c>
    </row>
    <row r="10" spans="1:22" x14ac:dyDescent="0.35">
      <c r="A10" s="16" t="s">
        <v>19</v>
      </c>
      <c r="B10" s="17">
        <f t="shared" si="1"/>
        <v>1</v>
      </c>
      <c r="C10" s="17">
        <f t="shared" si="2"/>
        <v>1</v>
      </c>
      <c r="D10" s="16">
        <v>1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1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</row>
    <row r="11" spans="1:22" x14ac:dyDescent="0.35">
      <c r="A11" s="16" t="s">
        <v>20</v>
      </c>
      <c r="B11" s="17">
        <f t="shared" si="1"/>
        <v>45</v>
      </c>
      <c r="C11" s="17">
        <f t="shared" si="2"/>
        <v>98</v>
      </c>
      <c r="D11" s="16">
        <v>24</v>
      </c>
      <c r="E11" s="16">
        <v>12</v>
      </c>
      <c r="F11" s="16">
        <v>3</v>
      </c>
      <c r="G11" s="16">
        <v>6</v>
      </c>
      <c r="H11" s="16">
        <v>0</v>
      </c>
      <c r="I11" s="16">
        <v>0</v>
      </c>
      <c r="J11" s="16">
        <v>40</v>
      </c>
      <c r="K11" s="16">
        <v>34</v>
      </c>
      <c r="L11" s="16">
        <v>6</v>
      </c>
      <c r="M11" s="16">
        <v>18</v>
      </c>
      <c r="N11" s="16">
        <v>0</v>
      </c>
      <c r="O11" s="16">
        <v>0</v>
      </c>
    </row>
    <row r="12" spans="1:22" x14ac:dyDescent="0.35">
      <c r="A12" s="16" t="s">
        <v>21</v>
      </c>
      <c r="B12" s="17">
        <f t="shared" si="1"/>
        <v>407</v>
      </c>
      <c r="C12" s="17">
        <f t="shared" si="2"/>
        <v>946</v>
      </c>
      <c r="D12" s="16">
        <v>242</v>
      </c>
      <c r="E12" s="16">
        <v>109</v>
      </c>
      <c r="F12" s="16">
        <v>9</v>
      </c>
      <c r="G12" s="16">
        <v>47</v>
      </c>
      <c r="H12" s="16">
        <v>0</v>
      </c>
      <c r="I12" s="16">
        <v>0</v>
      </c>
      <c r="J12" s="16">
        <v>559</v>
      </c>
      <c r="K12" s="16">
        <v>273</v>
      </c>
      <c r="L12" s="16">
        <v>15</v>
      </c>
      <c r="M12" s="16">
        <v>99</v>
      </c>
      <c r="N12" s="16">
        <v>0</v>
      </c>
      <c r="O12" s="16">
        <v>0</v>
      </c>
    </row>
    <row r="13" spans="1:22" x14ac:dyDescent="0.35">
      <c r="A13" s="16" t="s">
        <v>22</v>
      </c>
      <c r="B13" s="17">
        <f t="shared" si="1"/>
        <v>163</v>
      </c>
      <c r="C13" s="17">
        <f t="shared" si="2"/>
        <v>327</v>
      </c>
      <c r="D13" s="16">
        <v>99</v>
      </c>
      <c r="E13" s="16">
        <v>40</v>
      </c>
      <c r="F13" s="16">
        <v>6</v>
      </c>
      <c r="G13" s="16">
        <v>18</v>
      </c>
      <c r="H13" s="16">
        <v>0</v>
      </c>
      <c r="I13" s="16">
        <v>0</v>
      </c>
      <c r="J13" s="16">
        <v>194</v>
      </c>
      <c r="K13" s="16">
        <v>90</v>
      </c>
      <c r="L13" s="16">
        <v>14</v>
      </c>
      <c r="M13" s="16">
        <v>29</v>
      </c>
      <c r="N13" s="16">
        <v>0</v>
      </c>
      <c r="O13" s="16">
        <v>0</v>
      </c>
    </row>
    <row r="14" spans="1:22" x14ac:dyDescent="0.35">
      <c r="A14" s="16" t="s">
        <v>23</v>
      </c>
      <c r="B14" s="17">
        <f t="shared" si="1"/>
        <v>91</v>
      </c>
      <c r="C14" s="17">
        <f t="shared" si="2"/>
        <v>259</v>
      </c>
      <c r="D14" s="16">
        <v>38</v>
      </c>
      <c r="E14" s="16">
        <v>29</v>
      </c>
      <c r="F14" s="16">
        <v>9</v>
      </c>
      <c r="G14" s="16">
        <v>15</v>
      </c>
      <c r="H14" s="16">
        <v>0</v>
      </c>
      <c r="I14" s="16">
        <v>0</v>
      </c>
      <c r="J14" s="16">
        <v>126</v>
      </c>
      <c r="K14" s="16">
        <v>77</v>
      </c>
      <c r="L14" s="16">
        <v>14</v>
      </c>
      <c r="M14" s="16">
        <v>42</v>
      </c>
      <c r="N14" s="16">
        <v>0</v>
      </c>
      <c r="O14" s="16">
        <v>0</v>
      </c>
    </row>
    <row r="15" spans="1:22" x14ac:dyDescent="0.35">
      <c r="A15" s="16" t="s">
        <v>24</v>
      </c>
      <c r="B15" s="17">
        <f t="shared" si="1"/>
        <v>48</v>
      </c>
      <c r="C15" s="17">
        <f t="shared" si="2"/>
        <v>160</v>
      </c>
      <c r="D15" s="16">
        <v>21</v>
      </c>
      <c r="E15" s="16">
        <v>19</v>
      </c>
      <c r="F15" s="16">
        <v>6</v>
      </c>
      <c r="G15" s="16">
        <v>2</v>
      </c>
      <c r="H15" s="16">
        <v>0</v>
      </c>
      <c r="I15" s="16">
        <v>0</v>
      </c>
      <c r="J15" s="16">
        <v>81</v>
      </c>
      <c r="K15" s="16">
        <v>48</v>
      </c>
      <c r="L15" s="16">
        <v>29</v>
      </c>
      <c r="M15" s="16">
        <v>2</v>
      </c>
      <c r="N15" s="16">
        <v>0</v>
      </c>
      <c r="O15" s="16">
        <v>0</v>
      </c>
    </row>
    <row r="16" spans="1:22" x14ac:dyDescent="0.35">
      <c r="A16" s="16" t="s">
        <v>25</v>
      </c>
      <c r="B16" s="17">
        <f t="shared" si="1"/>
        <v>215</v>
      </c>
      <c r="C16" s="17">
        <f t="shared" si="2"/>
        <v>420</v>
      </c>
      <c r="D16" s="16">
        <v>126</v>
      </c>
      <c r="E16" s="16">
        <v>47</v>
      </c>
      <c r="F16" s="16">
        <v>9</v>
      </c>
      <c r="G16" s="16">
        <v>33</v>
      </c>
      <c r="H16" s="16">
        <v>0</v>
      </c>
      <c r="I16" s="16">
        <v>0</v>
      </c>
      <c r="J16" s="16">
        <v>244</v>
      </c>
      <c r="K16" s="16">
        <v>112</v>
      </c>
      <c r="L16" s="16">
        <v>19</v>
      </c>
      <c r="M16" s="16">
        <v>45</v>
      </c>
      <c r="N16" s="16">
        <v>0</v>
      </c>
      <c r="O16" s="16">
        <v>0</v>
      </c>
    </row>
    <row r="17" spans="1:15" x14ac:dyDescent="0.35">
      <c r="A17" s="16" t="s">
        <v>27</v>
      </c>
      <c r="B17" s="17">
        <f t="shared" si="1"/>
        <v>75</v>
      </c>
      <c r="C17" s="17">
        <f t="shared" si="2"/>
        <v>123</v>
      </c>
      <c r="D17" s="16">
        <v>31</v>
      </c>
      <c r="E17" s="16">
        <v>25</v>
      </c>
      <c r="F17" s="16">
        <v>4</v>
      </c>
      <c r="G17" s="16">
        <v>15</v>
      </c>
      <c r="H17" s="16">
        <v>0</v>
      </c>
      <c r="I17" s="16">
        <v>0</v>
      </c>
      <c r="J17" s="16">
        <v>49</v>
      </c>
      <c r="K17" s="16">
        <v>41</v>
      </c>
      <c r="L17" s="16">
        <v>8</v>
      </c>
      <c r="M17" s="16">
        <v>25</v>
      </c>
      <c r="N17" s="16">
        <v>0</v>
      </c>
      <c r="O17" s="16">
        <v>0</v>
      </c>
    </row>
    <row r="18" spans="1:15" x14ac:dyDescent="0.35">
      <c r="A18" s="16" t="s">
        <v>28</v>
      </c>
      <c r="B18" s="17">
        <f t="shared" si="1"/>
        <v>110</v>
      </c>
      <c r="C18" s="17">
        <f t="shared" si="2"/>
        <v>189</v>
      </c>
      <c r="D18" s="16">
        <v>70</v>
      </c>
      <c r="E18" s="16">
        <v>24</v>
      </c>
      <c r="F18" s="16">
        <v>7</v>
      </c>
      <c r="G18" s="16">
        <v>9</v>
      </c>
      <c r="H18" s="16">
        <v>0</v>
      </c>
      <c r="I18" s="16">
        <v>0</v>
      </c>
      <c r="J18" s="16">
        <v>119</v>
      </c>
      <c r="K18" s="16">
        <v>39</v>
      </c>
      <c r="L18" s="16">
        <v>14</v>
      </c>
      <c r="M18" s="16">
        <v>17</v>
      </c>
      <c r="N18" s="16">
        <v>0</v>
      </c>
      <c r="O18" s="16">
        <v>0</v>
      </c>
    </row>
    <row r="19" spans="1:15" x14ac:dyDescent="0.35">
      <c r="A19" s="16" t="s">
        <v>29</v>
      </c>
      <c r="B19" s="17">
        <f t="shared" si="1"/>
        <v>128</v>
      </c>
      <c r="C19" s="17">
        <f t="shared" si="2"/>
        <v>199</v>
      </c>
      <c r="D19" s="16">
        <v>91</v>
      </c>
      <c r="E19" s="16">
        <v>34</v>
      </c>
      <c r="F19" s="16">
        <v>0</v>
      </c>
      <c r="G19" s="16">
        <v>3</v>
      </c>
      <c r="H19" s="16">
        <v>0</v>
      </c>
      <c r="I19" s="16">
        <v>0</v>
      </c>
      <c r="J19" s="16">
        <v>139</v>
      </c>
      <c r="K19" s="16">
        <v>56</v>
      </c>
      <c r="L19" s="16">
        <v>0</v>
      </c>
      <c r="M19" s="16">
        <v>4</v>
      </c>
      <c r="N19" s="16">
        <v>0</v>
      </c>
      <c r="O19" s="16">
        <v>0</v>
      </c>
    </row>
    <row r="20" spans="1:15" x14ac:dyDescent="0.35">
      <c r="A20" s="16" t="s">
        <v>30</v>
      </c>
      <c r="B20" s="17">
        <f t="shared" si="1"/>
        <v>99</v>
      </c>
      <c r="C20" s="17">
        <f t="shared" si="2"/>
        <v>165</v>
      </c>
      <c r="D20" s="16">
        <v>72</v>
      </c>
      <c r="E20" s="16">
        <v>24</v>
      </c>
      <c r="F20" s="16">
        <v>1</v>
      </c>
      <c r="G20" s="16">
        <v>2</v>
      </c>
      <c r="H20" s="16">
        <v>0</v>
      </c>
      <c r="I20" s="16">
        <v>0</v>
      </c>
      <c r="J20" s="16">
        <v>130</v>
      </c>
      <c r="K20" s="16">
        <v>32</v>
      </c>
      <c r="L20" s="16">
        <v>1</v>
      </c>
      <c r="M20" s="16">
        <v>2</v>
      </c>
      <c r="N20" s="16">
        <v>0</v>
      </c>
      <c r="O20" s="16">
        <v>0</v>
      </c>
    </row>
    <row r="21" spans="1:15" x14ac:dyDescent="0.35">
      <c r="A21" s="16" t="s">
        <v>82</v>
      </c>
      <c r="B21" s="17">
        <f t="shared" si="1"/>
        <v>51</v>
      </c>
      <c r="C21" s="17">
        <f t="shared" si="2"/>
        <v>51</v>
      </c>
      <c r="D21" s="16">
        <v>17</v>
      </c>
      <c r="E21" s="16">
        <v>22</v>
      </c>
      <c r="F21" s="16">
        <v>4</v>
      </c>
      <c r="G21" s="16">
        <v>7</v>
      </c>
      <c r="H21" s="16">
        <v>1</v>
      </c>
      <c r="I21" s="16">
        <v>0</v>
      </c>
      <c r="J21" s="16">
        <v>17</v>
      </c>
      <c r="K21" s="16">
        <v>22</v>
      </c>
      <c r="L21" s="16">
        <v>4</v>
      </c>
      <c r="M21" s="16">
        <v>7</v>
      </c>
      <c r="N21" s="16">
        <v>1</v>
      </c>
      <c r="O21" s="16">
        <v>0</v>
      </c>
    </row>
    <row r="22" spans="1:15" x14ac:dyDescent="0.35">
      <c r="A22" s="16" t="s">
        <v>83</v>
      </c>
      <c r="B22" s="17">
        <f t="shared" si="1"/>
        <v>2</v>
      </c>
      <c r="C22" s="17">
        <f t="shared" si="2"/>
        <v>2</v>
      </c>
      <c r="D22" s="16">
        <v>0</v>
      </c>
      <c r="E22" s="16">
        <v>0</v>
      </c>
      <c r="F22" s="16">
        <v>0</v>
      </c>
      <c r="G22" s="16">
        <v>0</v>
      </c>
      <c r="H22" s="16">
        <v>2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2</v>
      </c>
      <c r="O22" s="16">
        <v>0</v>
      </c>
    </row>
    <row r="23" spans="1:15" x14ac:dyDescent="0.35">
      <c r="A23" s="16" t="s">
        <v>73</v>
      </c>
      <c r="B23" s="17">
        <f t="shared" si="1"/>
        <v>2</v>
      </c>
      <c r="C23" s="17">
        <f t="shared" si="2"/>
        <v>2</v>
      </c>
      <c r="D23" s="16">
        <v>0</v>
      </c>
      <c r="E23" s="16">
        <v>0</v>
      </c>
      <c r="F23" s="16">
        <v>0</v>
      </c>
      <c r="G23" s="16">
        <v>0</v>
      </c>
      <c r="H23" s="16">
        <v>2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2</v>
      </c>
      <c r="O23" s="16">
        <v>0</v>
      </c>
    </row>
    <row r="24" spans="1:15" x14ac:dyDescent="0.35">
      <c r="A24" s="16" t="s">
        <v>65</v>
      </c>
      <c r="B24" s="17">
        <f t="shared" si="1"/>
        <v>3</v>
      </c>
      <c r="C24" s="17">
        <f t="shared" si="2"/>
        <v>3</v>
      </c>
      <c r="D24" s="16">
        <v>0</v>
      </c>
      <c r="E24" s="16">
        <v>0</v>
      </c>
      <c r="F24" s="16">
        <v>0</v>
      </c>
      <c r="G24" s="16">
        <v>0</v>
      </c>
      <c r="H24" s="16">
        <v>3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3</v>
      </c>
      <c r="O24" s="16">
        <v>0</v>
      </c>
    </row>
    <row r="25" spans="1:15" x14ac:dyDescent="0.35">
      <c r="A25" s="16" t="s">
        <v>74</v>
      </c>
      <c r="B25" s="17">
        <f t="shared" si="1"/>
        <v>7</v>
      </c>
      <c r="C25" s="17">
        <f t="shared" si="2"/>
        <v>7</v>
      </c>
      <c r="D25" s="16">
        <v>0</v>
      </c>
      <c r="E25" s="16">
        <v>0</v>
      </c>
      <c r="F25" s="16">
        <v>0</v>
      </c>
      <c r="G25" s="16">
        <v>0</v>
      </c>
      <c r="H25" s="16">
        <v>7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7</v>
      </c>
      <c r="O25" s="16">
        <v>0</v>
      </c>
    </row>
    <row r="26" spans="1:15" x14ac:dyDescent="0.35">
      <c r="A26" s="16" t="s">
        <v>75</v>
      </c>
      <c r="B26" s="17">
        <f t="shared" si="1"/>
        <v>2</v>
      </c>
      <c r="C26" s="17">
        <f t="shared" si="2"/>
        <v>3</v>
      </c>
      <c r="D26" s="16">
        <v>0</v>
      </c>
      <c r="E26" s="16">
        <v>0</v>
      </c>
      <c r="F26" s="16">
        <v>0</v>
      </c>
      <c r="G26" s="16">
        <v>0</v>
      </c>
      <c r="H26" s="16">
        <v>2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3</v>
      </c>
      <c r="O26" s="16">
        <v>0</v>
      </c>
    </row>
    <row r="27" spans="1:15" x14ac:dyDescent="0.35">
      <c r="A27" s="16" t="s">
        <v>76</v>
      </c>
      <c r="B27" s="17">
        <f t="shared" si="1"/>
        <v>1</v>
      </c>
      <c r="C27" s="17">
        <f t="shared" si="2"/>
        <v>1</v>
      </c>
      <c r="D27" s="16">
        <v>0</v>
      </c>
      <c r="E27" s="16">
        <v>0</v>
      </c>
      <c r="F27" s="16">
        <v>0</v>
      </c>
      <c r="G27" s="16">
        <v>0</v>
      </c>
      <c r="H27" s="16">
        <v>1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1</v>
      </c>
      <c r="O27" s="16">
        <v>0</v>
      </c>
    </row>
    <row r="28" spans="1:15" x14ac:dyDescent="0.35">
      <c r="A28" s="16" t="s">
        <v>84</v>
      </c>
      <c r="B28" s="17">
        <f t="shared" si="1"/>
        <v>1</v>
      </c>
      <c r="C28" s="17">
        <f t="shared" si="2"/>
        <v>1</v>
      </c>
      <c r="D28" s="16">
        <v>0</v>
      </c>
      <c r="E28" s="16">
        <v>0</v>
      </c>
      <c r="F28" s="16">
        <v>0</v>
      </c>
      <c r="G28" s="16">
        <v>0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1</v>
      </c>
      <c r="O28" s="16">
        <v>0</v>
      </c>
    </row>
    <row r="29" spans="1:15" x14ac:dyDescent="0.35">
      <c r="A29" s="16" t="s">
        <v>66</v>
      </c>
      <c r="B29" s="17">
        <f t="shared" si="1"/>
        <v>3</v>
      </c>
      <c r="C29" s="17">
        <f t="shared" si="2"/>
        <v>3</v>
      </c>
      <c r="D29" s="16">
        <v>0</v>
      </c>
      <c r="E29" s="16">
        <v>0</v>
      </c>
      <c r="F29" s="16">
        <v>0</v>
      </c>
      <c r="G29" s="16">
        <v>0</v>
      </c>
      <c r="H29" s="16">
        <v>3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3</v>
      </c>
      <c r="O29" s="16">
        <v>0</v>
      </c>
    </row>
    <row r="30" spans="1:15" x14ac:dyDescent="0.35">
      <c r="A30" s="16" t="s">
        <v>77</v>
      </c>
      <c r="B30" s="17">
        <f t="shared" si="1"/>
        <v>9</v>
      </c>
      <c r="C30" s="17">
        <f t="shared" si="2"/>
        <v>11</v>
      </c>
      <c r="D30" s="16">
        <v>0</v>
      </c>
      <c r="E30" s="16">
        <v>0</v>
      </c>
      <c r="F30" s="16">
        <v>0</v>
      </c>
      <c r="G30" s="16">
        <v>0</v>
      </c>
      <c r="H30" s="16">
        <v>9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11</v>
      </c>
      <c r="O30" s="16">
        <v>0</v>
      </c>
    </row>
    <row r="31" spans="1:15" x14ac:dyDescent="0.35">
      <c r="A31" s="16" t="s">
        <v>85</v>
      </c>
      <c r="B31" s="17">
        <f t="shared" si="1"/>
        <v>1</v>
      </c>
      <c r="C31" s="17">
        <f t="shared" si="2"/>
        <v>2</v>
      </c>
      <c r="D31" s="16">
        <v>0</v>
      </c>
      <c r="E31" s="16">
        <v>0</v>
      </c>
      <c r="F31" s="16">
        <v>0</v>
      </c>
      <c r="G31" s="16">
        <v>0</v>
      </c>
      <c r="H31" s="16">
        <v>1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2</v>
      </c>
      <c r="O31" s="16">
        <v>0</v>
      </c>
    </row>
    <row r="32" spans="1:15" x14ac:dyDescent="0.35">
      <c r="A32" s="16" t="s">
        <v>31</v>
      </c>
      <c r="B32" s="17">
        <f t="shared" si="1"/>
        <v>12</v>
      </c>
      <c r="C32" s="17">
        <f t="shared" si="2"/>
        <v>32</v>
      </c>
      <c r="D32" s="16">
        <v>8</v>
      </c>
      <c r="E32" s="16">
        <v>4</v>
      </c>
      <c r="F32" s="16">
        <v>0</v>
      </c>
      <c r="G32" s="16">
        <v>0</v>
      </c>
      <c r="H32" s="16">
        <v>0</v>
      </c>
      <c r="I32" s="16">
        <v>0</v>
      </c>
      <c r="J32" s="16">
        <v>18</v>
      </c>
      <c r="K32" s="16">
        <v>14</v>
      </c>
      <c r="L32" s="16">
        <v>0</v>
      </c>
      <c r="M32" s="16">
        <v>0</v>
      </c>
      <c r="N32" s="16">
        <v>0</v>
      </c>
      <c r="O32" s="16">
        <v>0</v>
      </c>
    </row>
    <row r="33" spans="1:22" x14ac:dyDescent="0.35">
      <c r="A33" s="16" t="s">
        <v>32</v>
      </c>
      <c r="B33" s="17">
        <f t="shared" si="1"/>
        <v>19</v>
      </c>
      <c r="C33" s="17">
        <f t="shared" si="2"/>
        <v>43</v>
      </c>
      <c r="D33" s="16">
        <v>12</v>
      </c>
      <c r="E33" s="16">
        <v>4</v>
      </c>
      <c r="F33" s="16">
        <v>3</v>
      </c>
      <c r="G33" s="16">
        <v>0</v>
      </c>
      <c r="H33" s="16">
        <v>0</v>
      </c>
      <c r="I33" s="16">
        <v>0</v>
      </c>
      <c r="J33" s="16">
        <v>30</v>
      </c>
      <c r="K33" s="16">
        <v>7</v>
      </c>
      <c r="L33" s="16">
        <v>6</v>
      </c>
      <c r="M33" s="16">
        <v>0</v>
      </c>
      <c r="N33" s="16">
        <v>0</v>
      </c>
      <c r="O33" s="16">
        <v>0</v>
      </c>
    </row>
    <row r="34" spans="1:22" x14ac:dyDescent="0.35">
      <c r="A34" s="16" t="s">
        <v>33</v>
      </c>
      <c r="B34" s="17">
        <f t="shared" si="1"/>
        <v>90</v>
      </c>
      <c r="C34" s="17">
        <f t="shared" si="2"/>
        <v>207</v>
      </c>
      <c r="D34" s="16">
        <v>51</v>
      </c>
      <c r="E34" s="16">
        <v>14</v>
      </c>
      <c r="F34" s="16">
        <v>9</v>
      </c>
      <c r="G34" s="16">
        <v>16</v>
      </c>
      <c r="H34" s="16">
        <v>0</v>
      </c>
      <c r="I34" s="16">
        <v>0</v>
      </c>
      <c r="J34" s="16">
        <v>117</v>
      </c>
      <c r="K34" s="16">
        <v>26</v>
      </c>
      <c r="L34" s="16">
        <v>32</v>
      </c>
      <c r="M34" s="16">
        <v>32</v>
      </c>
      <c r="N34" s="16">
        <v>0</v>
      </c>
      <c r="O34" s="16">
        <v>0</v>
      </c>
    </row>
    <row r="35" spans="1:22" x14ac:dyDescent="0.35">
      <c r="A35" s="16" t="s">
        <v>34</v>
      </c>
      <c r="B35" s="17">
        <f t="shared" si="1"/>
        <v>955</v>
      </c>
      <c r="C35" s="17">
        <f t="shared" si="2"/>
        <v>1974</v>
      </c>
      <c r="D35" s="16">
        <v>620</v>
      </c>
      <c r="E35" s="16">
        <v>201</v>
      </c>
      <c r="F35" s="16">
        <v>43</v>
      </c>
      <c r="G35" s="16">
        <v>91</v>
      </c>
      <c r="H35" s="16">
        <v>0</v>
      </c>
      <c r="I35" s="16">
        <v>0</v>
      </c>
      <c r="J35" s="16">
        <v>1289</v>
      </c>
      <c r="K35" s="16">
        <v>429</v>
      </c>
      <c r="L35" s="16">
        <v>86</v>
      </c>
      <c r="M35" s="16">
        <v>170</v>
      </c>
      <c r="N35" s="16">
        <v>0</v>
      </c>
      <c r="O35" s="16">
        <v>0</v>
      </c>
    </row>
    <row r="36" spans="1:22" x14ac:dyDescent="0.35">
      <c r="A36" s="16" t="s">
        <v>67</v>
      </c>
      <c r="B36" s="17">
        <f t="shared" si="1"/>
        <v>2</v>
      </c>
      <c r="C36" s="17">
        <f t="shared" si="2"/>
        <v>2</v>
      </c>
      <c r="D36" s="16">
        <v>2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2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</row>
    <row r="37" spans="1:22" x14ac:dyDescent="0.35">
      <c r="A37" s="16" t="s">
        <v>35</v>
      </c>
      <c r="B37" s="17">
        <f t="shared" ref="B37:B53" si="3">SUM(D37:I37)</f>
        <v>366</v>
      </c>
      <c r="C37" s="17">
        <f t="shared" ref="C37:C53" si="4">SUM(J37:O37)</f>
        <v>573</v>
      </c>
      <c r="D37" s="16">
        <v>166</v>
      </c>
      <c r="E37" s="16">
        <v>117</v>
      </c>
      <c r="F37" s="16">
        <v>24</v>
      </c>
      <c r="G37" s="16">
        <v>59</v>
      </c>
      <c r="H37" s="16">
        <v>0</v>
      </c>
      <c r="I37" s="16">
        <v>0</v>
      </c>
      <c r="J37" s="16">
        <v>252</v>
      </c>
      <c r="K37" s="16">
        <v>199</v>
      </c>
      <c r="L37" s="16">
        <v>40</v>
      </c>
      <c r="M37" s="16">
        <v>82</v>
      </c>
      <c r="N37" s="16">
        <v>0</v>
      </c>
      <c r="O37" s="16">
        <v>0</v>
      </c>
    </row>
    <row r="38" spans="1:22" x14ac:dyDescent="0.35">
      <c r="A38" s="16" t="s">
        <v>36</v>
      </c>
      <c r="B38" s="17">
        <f t="shared" si="3"/>
        <v>15</v>
      </c>
      <c r="C38" s="17">
        <f t="shared" si="4"/>
        <v>16</v>
      </c>
      <c r="D38" s="16">
        <v>6</v>
      </c>
      <c r="E38" s="16">
        <v>6</v>
      </c>
      <c r="F38" s="16">
        <v>1</v>
      </c>
      <c r="G38" s="16">
        <v>2</v>
      </c>
      <c r="H38" s="16">
        <v>0</v>
      </c>
      <c r="I38" s="16">
        <v>0</v>
      </c>
      <c r="J38" s="16">
        <v>6</v>
      </c>
      <c r="K38" s="16">
        <v>7</v>
      </c>
      <c r="L38" s="16">
        <v>1</v>
      </c>
      <c r="M38" s="16">
        <v>2</v>
      </c>
      <c r="N38" s="16">
        <v>0</v>
      </c>
      <c r="O38" s="16">
        <v>0</v>
      </c>
    </row>
    <row r="39" spans="1:22" x14ac:dyDescent="0.35">
      <c r="A39" s="16" t="s">
        <v>37</v>
      </c>
      <c r="B39" s="17">
        <f t="shared" si="3"/>
        <v>200</v>
      </c>
      <c r="C39" s="17">
        <f t="shared" si="4"/>
        <v>374</v>
      </c>
      <c r="D39" s="16">
        <v>104</v>
      </c>
      <c r="E39" s="16">
        <v>63</v>
      </c>
      <c r="F39" s="16">
        <v>19</v>
      </c>
      <c r="G39" s="16">
        <v>14</v>
      </c>
      <c r="H39" s="16">
        <v>0</v>
      </c>
      <c r="I39" s="16">
        <v>0</v>
      </c>
      <c r="J39" s="16">
        <v>201</v>
      </c>
      <c r="K39" s="16">
        <v>124</v>
      </c>
      <c r="L39" s="16">
        <v>28</v>
      </c>
      <c r="M39" s="16">
        <v>21</v>
      </c>
      <c r="N39" s="16">
        <v>0</v>
      </c>
      <c r="O39" s="16">
        <v>0</v>
      </c>
    </row>
    <row r="40" spans="1:22" x14ac:dyDescent="0.35">
      <c r="A40" s="16" t="s">
        <v>38</v>
      </c>
      <c r="B40" s="17">
        <f t="shared" si="3"/>
        <v>80</v>
      </c>
      <c r="C40" s="17">
        <f t="shared" si="4"/>
        <v>212</v>
      </c>
      <c r="D40" s="16">
        <v>47</v>
      </c>
      <c r="E40" s="16">
        <v>17</v>
      </c>
      <c r="F40" s="16">
        <v>3</v>
      </c>
      <c r="G40" s="16">
        <v>13</v>
      </c>
      <c r="H40" s="16">
        <v>0</v>
      </c>
      <c r="I40" s="16">
        <v>0</v>
      </c>
      <c r="J40" s="16">
        <v>124</v>
      </c>
      <c r="K40" s="16">
        <v>40</v>
      </c>
      <c r="L40" s="16">
        <v>9</v>
      </c>
      <c r="M40" s="16">
        <v>39</v>
      </c>
      <c r="N40" s="16">
        <v>0</v>
      </c>
      <c r="O40" s="16">
        <v>0</v>
      </c>
    </row>
    <row r="41" spans="1:22" x14ac:dyDescent="0.35">
      <c r="A41" s="16" t="s">
        <v>39</v>
      </c>
      <c r="B41" s="17">
        <f t="shared" si="3"/>
        <v>51</v>
      </c>
      <c r="C41" s="17">
        <f t="shared" si="4"/>
        <v>91</v>
      </c>
      <c r="D41" s="16">
        <v>30</v>
      </c>
      <c r="E41" s="16">
        <v>16</v>
      </c>
      <c r="F41" s="16">
        <v>1</v>
      </c>
      <c r="G41" s="16">
        <v>4</v>
      </c>
      <c r="H41" s="16">
        <v>0</v>
      </c>
      <c r="I41" s="16">
        <v>0</v>
      </c>
      <c r="J41" s="16">
        <v>57</v>
      </c>
      <c r="K41" s="16">
        <v>26</v>
      </c>
      <c r="L41" s="16">
        <v>1</v>
      </c>
      <c r="M41" s="16">
        <v>7</v>
      </c>
      <c r="N41" s="16">
        <v>0</v>
      </c>
      <c r="O41" s="16">
        <v>0</v>
      </c>
    </row>
    <row r="42" spans="1:22" x14ac:dyDescent="0.35">
      <c r="A42" s="16" t="s">
        <v>40</v>
      </c>
      <c r="B42" s="17">
        <f t="shared" si="3"/>
        <v>75</v>
      </c>
      <c r="C42" s="17">
        <f t="shared" si="4"/>
        <v>187</v>
      </c>
      <c r="D42" s="16">
        <v>21</v>
      </c>
      <c r="E42" s="16">
        <v>32</v>
      </c>
      <c r="F42" s="16">
        <v>13</v>
      </c>
      <c r="G42" s="16">
        <v>9</v>
      </c>
      <c r="H42" s="16">
        <v>0</v>
      </c>
      <c r="I42" s="16">
        <v>0</v>
      </c>
      <c r="J42" s="16">
        <v>57</v>
      </c>
      <c r="K42" s="16">
        <v>81</v>
      </c>
      <c r="L42" s="16">
        <v>29</v>
      </c>
      <c r="M42" s="16">
        <v>20</v>
      </c>
      <c r="N42" s="16">
        <v>0</v>
      </c>
      <c r="O42" s="16">
        <v>0</v>
      </c>
    </row>
    <row r="43" spans="1:22" x14ac:dyDescent="0.35">
      <c r="A43" s="16" t="s">
        <v>41</v>
      </c>
      <c r="B43" s="17">
        <f t="shared" si="3"/>
        <v>5</v>
      </c>
      <c r="C43" s="17">
        <f t="shared" si="4"/>
        <v>5</v>
      </c>
      <c r="D43" s="16">
        <v>0</v>
      </c>
      <c r="E43" s="16">
        <v>3</v>
      </c>
      <c r="F43" s="16">
        <v>1</v>
      </c>
      <c r="G43" s="16">
        <v>1</v>
      </c>
      <c r="H43" s="16">
        <v>0</v>
      </c>
      <c r="I43" s="16">
        <v>0</v>
      </c>
      <c r="J43" s="16">
        <v>0</v>
      </c>
      <c r="K43" s="16">
        <v>3</v>
      </c>
      <c r="L43" s="16">
        <v>1</v>
      </c>
      <c r="M43" s="16">
        <v>1</v>
      </c>
      <c r="N43" s="16">
        <v>0</v>
      </c>
      <c r="O43" s="16">
        <v>0</v>
      </c>
    </row>
    <row r="44" spans="1:22" x14ac:dyDescent="0.35">
      <c r="A44" s="16" t="s">
        <v>42</v>
      </c>
      <c r="B44" s="17">
        <f t="shared" si="3"/>
        <v>29</v>
      </c>
      <c r="C44" s="17">
        <f t="shared" si="4"/>
        <v>43</v>
      </c>
      <c r="D44" s="16">
        <v>14</v>
      </c>
      <c r="E44" s="16">
        <v>9</v>
      </c>
      <c r="F44" s="16">
        <v>3</v>
      </c>
      <c r="G44" s="16">
        <v>3</v>
      </c>
      <c r="H44" s="16">
        <v>0</v>
      </c>
      <c r="I44" s="16">
        <v>0</v>
      </c>
      <c r="J44" s="16">
        <v>23</v>
      </c>
      <c r="K44" s="16">
        <v>14</v>
      </c>
      <c r="L44" s="16">
        <v>3</v>
      </c>
      <c r="M44" s="16">
        <v>3</v>
      </c>
      <c r="N44" s="16">
        <v>0</v>
      </c>
      <c r="O44" s="16">
        <v>0</v>
      </c>
    </row>
    <row r="45" spans="1:22" x14ac:dyDescent="0.35">
      <c r="A45" s="18">
        <v>3753</v>
      </c>
      <c r="B45" s="19">
        <f t="shared" si="3"/>
        <v>603</v>
      </c>
      <c r="C45" s="19">
        <f t="shared" si="4"/>
        <v>1024</v>
      </c>
      <c r="D45" s="19">
        <f t="shared" ref="D45:O45" si="5">SUM(D46:D49)</f>
        <v>359</v>
      </c>
      <c r="E45" s="19">
        <f t="shared" si="5"/>
        <v>146</v>
      </c>
      <c r="F45" s="19">
        <f t="shared" si="5"/>
        <v>25</v>
      </c>
      <c r="G45" s="19">
        <f t="shared" si="5"/>
        <v>73</v>
      </c>
      <c r="H45" s="19">
        <f t="shared" si="5"/>
        <v>0</v>
      </c>
      <c r="I45" s="19">
        <f t="shared" si="5"/>
        <v>0</v>
      </c>
      <c r="J45" s="19">
        <f t="shared" si="5"/>
        <v>577</v>
      </c>
      <c r="K45" s="19">
        <f t="shared" si="5"/>
        <v>278</v>
      </c>
      <c r="L45" s="19">
        <f t="shared" si="5"/>
        <v>39</v>
      </c>
      <c r="M45" s="19">
        <f t="shared" si="5"/>
        <v>130</v>
      </c>
      <c r="N45" s="19">
        <f t="shared" si="5"/>
        <v>0</v>
      </c>
      <c r="O45" s="19">
        <f t="shared" si="5"/>
        <v>0</v>
      </c>
    </row>
    <row r="46" spans="1:22" x14ac:dyDescent="0.35">
      <c r="A46" s="16" t="s">
        <v>43</v>
      </c>
      <c r="B46" s="20">
        <f t="shared" si="3"/>
        <v>77</v>
      </c>
      <c r="C46" s="20">
        <f t="shared" si="4"/>
        <v>140</v>
      </c>
      <c r="D46" s="16">
        <v>41</v>
      </c>
      <c r="E46" s="16">
        <v>21</v>
      </c>
      <c r="F46" s="16">
        <v>4</v>
      </c>
      <c r="G46" s="16">
        <v>11</v>
      </c>
      <c r="H46" s="16">
        <v>0</v>
      </c>
      <c r="I46" s="16">
        <v>0</v>
      </c>
      <c r="J46" s="16">
        <v>71</v>
      </c>
      <c r="K46" s="16">
        <v>35</v>
      </c>
      <c r="L46" s="16">
        <v>9</v>
      </c>
      <c r="M46" s="16">
        <v>25</v>
      </c>
      <c r="N46" s="16">
        <v>0</v>
      </c>
      <c r="O46" s="16">
        <v>0</v>
      </c>
      <c r="P46" s="15"/>
      <c r="Q46" s="15"/>
      <c r="R46" s="15"/>
      <c r="S46" s="15"/>
      <c r="T46" s="15"/>
      <c r="U46" s="15"/>
      <c r="V46" s="15"/>
    </row>
    <row r="47" spans="1:22" x14ac:dyDescent="0.35">
      <c r="A47" s="16" t="s">
        <v>44</v>
      </c>
      <c r="B47" s="20">
        <f t="shared" si="3"/>
        <v>61</v>
      </c>
      <c r="C47" s="20">
        <f t="shared" si="4"/>
        <v>104</v>
      </c>
      <c r="D47" s="16">
        <v>36</v>
      </c>
      <c r="E47" s="16">
        <v>21</v>
      </c>
      <c r="F47" s="16">
        <v>2</v>
      </c>
      <c r="G47" s="16">
        <v>2</v>
      </c>
      <c r="H47" s="16">
        <v>0</v>
      </c>
      <c r="I47" s="16">
        <v>0</v>
      </c>
      <c r="J47" s="16">
        <v>52</v>
      </c>
      <c r="K47" s="16">
        <v>47</v>
      </c>
      <c r="L47" s="16">
        <v>2</v>
      </c>
      <c r="M47" s="16">
        <v>3</v>
      </c>
      <c r="N47" s="16">
        <v>0</v>
      </c>
      <c r="O47" s="16">
        <v>0</v>
      </c>
    </row>
    <row r="48" spans="1:22" x14ac:dyDescent="0.35">
      <c r="A48" s="16" t="s">
        <v>45</v>
      </c>
      <c r="B48" s="20">
        <f t="shared" si="3"/>
        <v>131</v>
      </c>
      <c r="C48" s="20">
        <f t="shared" si="4"/>
        <v>226</v>
      </c>
      <c r="D48" s="16">
        <v>81</v>
      </c>
      <c r="E48" s="16">
        <v>39</v>
      </c>
      <c r="F48" s="16">
        <v>3</v>
      </c>
      <c r="G48" s="16">
        <v>8</v>
      </c>
      <c r="H48" s="16">
        <v>0</v>
      </c>
      <c r="I48" s="16">
        <v>0</v>
      </c>
      <c r="J48" s="16">
        <v>120</v>
      </c>
      <c r="K48" s="16">
        <v>83</v>
      </c>
      <c r="L48" s="16">
        <v>5</v>
      </c>
      <c r="M48" s="16">
        <v>18</v>
      </c>
      <c r="N48" s="16">
        <v>0</v>
      </c>
      <c r="O48" s="16">
        <v>0</v>
      </c>
    </row>
    <row r="49" spans="1:22" x14ac:dyDescent="0.35">
      <c r="A49" s="16" t="s">
        <v>46</v>
      </c>
      <c r="B49" s="20">
        <f t="shared" si="3"/>
        <v>334</v>
      </c>
      <c r="C49" s="20">
        <f t="shared" si="4"/>
        <v>554</v>
      </c>
      <c r="D49" s="16">
        <v>201</v>
      </c>
      <c r="E49" s="16">
        <v>65</v>
      </c>
      <c r="F49" s="16">
        <v>16</v>
      </c>
      <c r="G49" s="16">
        <v>52</v>
      </c>
      <c r="H49" s="16">
        <v>0</v>
      </c>
      <c r="I49" s="16">
        <v>0</v>
      </c>
      <c r="J49" s="16">
        <v>334</v>
      </c>
      <c r="K49" s="16">
        <v>113</v>
      </c>
      <c r="L49" s="16">
        <v>23</v>
      </c>
      <c r="M49" s="16">
        <v>84</v>
      </c>
      <c r="N49" s="16">
        <v>0</v>
      </c>
      <c r="O49" s="16">
        <v>0</v>
      </c>
    </row>
    <row r="50" spans="1:22" x14ac:dyDescent="0.35">
      <c r="A50" s="18">
        <v>3754</v>
      </c>
      <c r="B50" s="19">
        <f t="shared" si="3"/>
        <v>200</v>
      </c>
      <c r="C50" s="19">
        <f t="shared" si="4"/>
        <v>328</v>
      </c>
      <c r="D50" s="19">
        <f t="shared" ref="D50:O50" si="6">SUM(D51:D53)</f>
        <v>116</v>
      </c>
      <c r="E50" s="19">
        <f t="shared" si="6"/>
        <v>36</v>
      </c>
      <c r="F50" s="19">
        <f t="shared" si="6"/>
        <v>11</v>
      </c>
      <c r="G50" s="19">
        <f t="shared" si="6"/>
        <v>37</v>
      </c>
      <c r="H50" s="19">
        <f t="shared" si="6"/>
        <v>0</v>
      </c>
      <c r="I50" s="19">
        <f t="shared" si="6"/>
        <v>0</v>
      </c>
      <c r="J50" s="19">
        <f t="shared" si="6"/>
        <v>188</v>
      </c>
      <c r="K50" s="19">
        <f t="shared" si="6"/>
        <v>66</v>
      </c>
      <c r="L50" s="19">
        <f t="shared" si="6"/>
        <v>21</v>
      </c>
      <c r="M50" s="19">
        <f t="shared" si="6"/>
        <v>53</v>
      </c>
      <c r="N50" s="19">
        <f t="shared" si="6"/>
        <v>0</v>
      </c>
      <c r="O50" s="19">
        <f t="shared" si="6"/>
        <v>0</v>
      </c>
    </row>
    <row r="51" spans="1:22" x14ac:dyDescent="0.35">
      <c r="A51" s="16" t="s">
        <v>47</v>
      </c>
      <c r="B51" s="20">
        <f t="shared" si="3"/>
        <v>30</v>
      </c>
      <c r="C51" s="20">
        <f t="shared" si="4"/>
        <v>40</v>
      </c>
      <c r="D51" s="16">
        <v>12</v>
      </c>
      <c r="E51" s="16">
        <v>8</v>
      </c>
      <c r="F51" s="16">
        <v>5</v>
      </c>
      <c r="G51" s="16">
        <v>5</v>
      </c>
      <c r="H51" s="16">
        <v>0</v>
      </c>
      <c r="I51" s="16">
        <v>0</v>
      </c>
      <c r="J51" s="16">
        <v>16</v>
      </c>
      <c r="K51" s="16">
        <v>10</v>
      </c>
      <c r="L51" s="16">
        <v>7</v>
      </c>
      <c r="M51" s="16">
        <v>7</v>
      </c>
      <c r="N51" s="16">
        <v>0</v>
      </c>
      <c r="O51" s="16">
        <v>0</v>
      </c>
      <c r="P51" s="15"/>
      <c r="Q51" s="15"/>
      <c r="R51" s="15"/>
      <c r="S51" s="15"/>
      <c r="T51" s="15"/>
      <c r="U51" s="15"/>
      <c r="V51" s="15"/>
    </row>
    <row r="52" spans="1:22" x14ac:dyDescent="0.35">
      <c r="A52" s="16" t="s">
        <v>48</v>
      </c>
      <c r="B52" s="20">
        <f t="shared" si="3"/>
        <v>134</v>
      </c>
      <c r="C52" s="20">
        <f t="shared" si="4"/>
        <v>222</v>
      </c>
      <c r="D52" s="16">
        <v>80</v>
      </c>
      <c r="E52" s="16">
        <v>21</v>
      </c>
      <c r="F52" s="16">
        <v>4</v>
      </c>
      <c r="G52" s="16">
        <v>29</v>
      </c>
      <c r="H52" s="16">
        <v>0</v>
      </c>
      <c r="I52" s="16">
        <v>0</v>
      </c>
      <c r="J52" s="16">
        <v>132</v>
      </c>
      <c r="K52" s="16">
        <v>41</v>
      </c>
      <c r="L52" s="16">
        <v>6</v>
      </c>
      <c r="M52" s="16">
        <v>43</v>
      </c>
      <c r="N52" s="16">
        <v>0</v>
      </c>
      <c r="O52" s="16">
        <v>0</v>
      </c>
    </row>
    <row r="53" spans="1:22" x14ac:dyDescent="0.35">
      <c r="A53" s="16" t="s">
        <v>49</v>
      </c>
      <c r="B53" s="20">
        <f t="shared" si="3"/>
        <v>36</v>
      </c>
      <c r="C53" s="20">
        <f t="shared" si="4"/>
        <v>66</v>
      </c>
      <c r="D53" s="16">
        <v>24</v>
      </c>
      <c r="E53" s="16">
        <v>7</v>
      </c>
      <c r="F53" s="16">
        <v>2</v>
      </c>
      <c r="G53" s="16">
        <v>3</v>
      </c>
      <c r="H53" s="16">
        <v>0</v>
      </c>
      <c r="I53" s="16">
        <v>0</v>
      </c>
      <c r="J53" s="16">
        <v>40</v>
      </c>
      <c r="K53" s="16">
        <v>15</v>
      </c>
      <c r="L53" s="16">
        <v>8</v>
      </c>
      <c r="M53" s="16">
        <v>3</v>
      </c>
      <c r="N53" s="16">
        <v>0</v>
      </c>
      <c r="O53" s="16">
        <v>0</v>
      </c>
    </row>
    <row r="54" spans="1:22" x14ac:dyDescent="0.35">
      <c r="A54" s="18">
        <v>3755</v>
      </c>
      <c r="B54" s="19">
        <f>D54+E54+F54+G54+H54+I54</f>
        <v>115</v>
      </c>
      <c r="C54" s="19">
        <f>J54+K54+L54+M54+N54+O54</f>
        <v>173</v>
      </c>
      <c r="D54" s="32">
        <f t="shared" ref="D54:O54" si="7">SUM(D55:D56)</f>
        <v>58</v>
      </c>
      <c r="E54" s="32">
        <f t="shared" si="7"/>
        <v>17</v>
      </c>
      <c r="F54" s="32">
        <f t="shared" si="7"/>
        <v>14</v>
      </c>
      <c r="G54" s="32">
        <f t="shared" si="7"/>
        <v>26</v>
      </c>
      <c r="H54" s="32">
        <f t="shared" si="7"/>
        <v>0</v>
      </c>
      <c r="I54" s="32">
        <f t="shared" si="7"/>
        <v>0</v>
      </c>
      <c r="J54" s="32">
        <f t="shared" si="7"/>
        <v>89</v>
      </c>
      <c r="K54" s="32">
        <f t="shared" si="7"/>
        <v>21</v>
      </c>
      <c r="L54" s="32">
        <f t="shared" si="7"/>
        <v>36</v>
      </c>
      <c r="M54" s="32">
        <f t="shared" si="7"/>
        <v>27</v>
      </c>
      <c r="N54" s="32">
        <f t="shared" si="7"/>
        <v>0</v>
      </c>
      <c r="O54" s="32">
        <f t="shared" si="7"/>
        <v>0</v>
      </c>
    </row>
    <row r="55" spans="1:22" x14ac:dyDescent="0.35">
      <c r="A55" s="16" t="s">
        <v>86</v>
      </c>
      <c r="B55" s="20">
        <f>D55+E55+F55+G55+H55+I55</f>
        <v>43</v>
      </c>
      <c r="C55" s="20">
        <f>J55+K55+L55+M55+N55+O55</f>
        <v>65</v>
      </c>
      <c r="D55" s="16">
        <v>12</v>
      </c>
      <c r="E55" s="16">
        <v>6</v>
      </c>
      <c r="F55" s="16">
        <v>5</v>
      </c>
      <c r="G55" s="16">
        <v>20</v>
      </c>
      <c r="H55" s="16">
        <v>0</v>
      </c>
      <c r="I55" s="16">
        <v>0</v>
      </c>
      <c r="J55" s="16">
        <v>21</v>
      </c>
      <c r="K55" s="16">
        <v>8</v>
      </c>
      <c r="L55" s="16">
        <v>15</v>
      </c>
      <c r="M55" s="16">
        <v>21</v>
      </c>
      <c r="N55" s="16">
        <v>0</v>
      </c>
      <c r="O55" s="16">
        <v>0</v>
      </c>
    </row>
    <row r="56" spans="1:22" x14ac:dyDescent="0.35">
      <c r="A56" s="16" t="s">
        <v>87</v>
      </c>
      <c r="B56" s="20">
        <f>D56+E56+F56+G56+H56+I56</f>
        <v>72</v>
      </c>
      <c r="C56" s="20">
        <f>J56+K56+L56+M56+N56+O56</f>
        <v>108</v>
      </c>
      <c r="D56" s="16">
        <v>46</v>
      </c>
      <c r="E56" s="16">
        <v>11</v>
      </c>
      <c r="F56" s="16">
        <v>9</v>
      </c>
      <c r="G56" s="16">
        <v>6</v>
      </c>
      <c r="H56" s="16">
        <v>0</v>
      </c>
      <c r="I56" s="16">
        <v>0</v>
      </c>
      <c r="J56" s="16">
        <v>68</v>
      </c>
      <c r="K56" s="16">
        <v>13</v>
      </c>
      <c r="L56" s="16">
        <v>21</v>
      </c>
      <c r="M56" s="16">
        <v>6</v>
      </c>
      <c r="N56" s="16">
        <v>0</v>
      </c>
      <c r="O56" s="16">
        <v>0</v>
      </c>
    </row>
    <row r="57" spans="1:22" x14ac:dyDescent="0.35">
      <c r="A57" s="23" t="s">
        <v>50</v>
      </c>
      <c r="B57" s="23">
        <f t="shared" ref="B57:O57" si="8">B4+B45+B50+B54</f>
        <v>5336</v>
      </c>
      <c r="C57" s="23">
        <f t="shared" si="8"/>
        <v>10653</v>
      </c>
      <c r="D57" s="23">
        <f t="shared" si="8"/>
        <v>3036</v>
      </c>
      <c r="E57" s="23">
        <f t="shared" si="8"/>
        <v>1329</v>
      </c>
      <c r="F57" s="23">
        <f t="shared" si="8"/>
        <v>294</v>
      </c>
      <c r="G57" s="23">
        <f t="shared" si="8"/>
        <v>645</v>
      </c>
      <c r="H57" s="23">
        <f t="shared" si="8"/>
        <v>32</v>
      </c>
      <c r="I57" s="23">
        <f t="shared" si="8"/>
        <v>0</v>
      </c>
      <c r="J57" s="23">
        <f t="shared" si="8"/>
        <v>6047</v>
      </c>
      <c r="K57" s="23">
        <f t="shared" si="8"/>
        <v>2824</v>
      </c>
      <c r="L57" s="23">
        <f t="shared" si="8"/>
        <v>593</v>
      </c>
      <c r="M57" s="23">
        <f t="shared" si="8"/>
        <v>1153</v>
      </c>
      <c r="N57" s="23">
        <f t="shared" si="8"/>
        <v>36</v>
      </c>
      <c r="O57" s="23">
        <f t="shared" si="8"/>
        <v>0</v>
      </c>
    </row>
    <row r="59" spans="1:22" ht="20" x14ac:dyDescent="0.35">
      <c r="A59" s="3" t="s">
        <v>51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22" x14ac:dyDescent="0.35">
      <c r="A60" s="2" t="s">
        <v>52</v>
      </c>
      <c r="B60" s="1" t="s">
        <v>8</v>
      </c>
      <c r="C60" s="1"/>
      <c r="D60" s="1" t="s">
        <v>9</v>
      </c>
      <c r="E60" s="1"/>
      <c r="F60" s="1" t="s">
        <v>10</v>
      </c>
      <c r="G60" s="1"/>
      <c r="H60" s="1" t="s">
        <v>11</v>
      </c>
      <c r="I60" s="1"/>
      <c r="J60" s="1" t="s">
        <v>68</v>
      </c>
      <c r="K60" s="1"/>
      <c r="L60" s="1" t="s">
        <v>79</v>
      </c>
      <c r="M60" s="1"/>
      <c r="N60" s="1" t="s">
        <v>88</v>
      </c>
      <c r="O60" s="1"/>
      <c r="P60" s="1" t="s">
        <v>53</v>
      </c>
      <c r="Q60" s="1" t="s">
        <v>54</v>
      </c>
    </row>
    <row r="61" spans="1:22" x14ac:dyDescent="0.35">
      <c r="A61" s="2"/>
      <c r="B61" s="25" t="s">
        <v>55</v>
      </c>
      <c r="C61" s="25" t="s">
        <v>7</v>
      </c>
      <c r="D61" s="25" t="s">
        <v>55</v>
      </c>
      <c r="E61" s="25" t="s">
        <v>7</v>
      </c>
      <c r="F61" s="25" t="s">
        <v>55</v>
      </c>
      <c r="G61" s="25" t="s">
        <v>7</v>
      </c>
      <c r="H61" s="25" t="s">
        <v>55</v>
      </c>
      <c r="I61" s="25" t="s">
        <v>7</v>
      </c>
      <c r="J61" s="25" t="s">
        <v>55</v>
      </c>
      <c r="K61" s="25" t="s">
        <v>7</v>
      </c>
      <c r="L61" s="25" t="s">
        <v>55</v>
      </c>
      <c r="M61" s="25" t="s">
        <v>7</v>
      </c>
      <c r="N61" s="25" t="s">
        <v>55</v>
      </c>
      <c r="O61" s="25" t="s">
        <v>7</v>
      </c>
      <c r="P61" s="1" t="s">
        <v>53</v>
      </c>
      <c r="Q61" s="1" t="s">
        <v>56</v>
      </c>
    </row>
    <row r="62" spans="1:22" x14ac:dyDescent="0.35">
      <c r="A62" s="26" t="s">
        <v>80</v>
      </c>
      <c r="B62" s="26">
        <v>0</v>
      </c>
      <c r="C62" s="26">
        <v>0</v>
      </c>
      <c r="D62" s="26">
        <v>0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>
        <v>1</v>
      </c>
      <c r="K62" s="26">
        <v>2</v>
      </c>
      <c r="L62" s="26">
        <v>0</v>
      </c>
      <c r="M62" s="26">
        <v>0</v>
      </c>
      <c r="N62" s="26">
        <v>0</v>
      </c>
      <c r="O62" s="26">
        <v>0</v>
      </c>
      <c r="P62" s="33">
        <f>SUM(B62+D62+F62+H62+J62+L62)</f>
        <v>1</v>
      </c>
      <c r="Q62" s="33">
        <f>SUM(C62+E62+G62+I62+K62+M62)</f>
        <v>2</v>
      </c>
    </row>
    <row r="63" spans="1:22" x14ac:dyDescent="0.35">
      <c r="A63" s="26" t="s">
        <v>57</v>
      </c>
      <c r="B63" s="26">
        <v>2493</v>
      </c>
      <c r="C63" s="26">
        <v>5680</v>
      </c>
      <c r="D63" s="26">
        <v>1030</v>
      </c>
      <c r="E63" s="26">
        <v>2628</v>
      </c>
      <c r="F63" s="26">
        <v>254</v>
      </c>
      <c r="G63" s="26">
        <v>592</v>
      </c>
      <c r="H63" s="26">
        <v>550</v>
      </c>
      <c r="I63" s="26">
        <v>1091</v>
      </c>
      <c r="J63" s="26">
        <v>0</v>
      </c>
      <c r="K63" s="26">
        <v>0</v>
      </c>
      <c r="L63" s="26">
        <v>0</v>
      </c>
      <c r="M63" s="26">
        <v>0</v>
      </c>
      <c r="N63" s="26">
        <v>0</v>
      </c>
      <c r="O63" s="26">
        <v>0</v>
      </c>
      <c r="P63" s="33">
        <f>SUM(B63+D63+F63+H63+J63+L63)</f>
        <v>4327</v>
      </c>
      <c r="Q63" s="33">
        <f>SUM(C63+E63+G63+I63+K63+M63)</f>
        <v>9991</v>
      </c>
    </row>
    <row r="64" spans="1:22" x14ac:dyDescent="0.35">
      <c r="A64" s="26" t="s">
        <v>69</v>
      </c>
      <c r="B64" s="26">
        <v>16</v>
      </c>
      <c r="C64" s="26">
        <v>16</v>
      </c>
      <c r="D64" s="26">
        <v>21</v>
      </c>
      <c r="E64" s="26">
        <v>21</v>
      </c>
      <c r="F64" s="26">
        <v>4</v>
      </c>
      <c r="G64" s="26">
        <v>4</v>
      </c>
      <c r="H64" s="26">
        <v>7</v>
      </c>
      <c r="I64" s="26">
        <v>7</v>
      </c>
      <c r="J64" s="26">
        <v>20</v>
      </c>
      <c r="K64" s="26">
        <v>34</v>
      </c>
      <c r="L64" s="26">
        <v>1</v>
      </c>
      <c r="M64" s="26">
        <v>1</v>
      </c>
      <c r="N64" s="26">
        <v>1</v>
      </c>
      <c r="O64" s="26">
        <v>1</v>
      </c>
      <c r="P64" s="33">
        <f>SUM(B64+D64+F64+H64+J64+L64+N64)</f>
        <v>70</v>
      </c>
      <c r="Q64" s="33">
        <f>SUM(C64+E64+G64+I64+K64+M64+O64)</f>
        <v>84</v>
      </c>
    </row>
    <row r="65" spans="1:17" x14ac:dyDescent="0.35">
      <c r="A65" s="26" t="s">
        <v>58</v>
      </c>
      <c r="B65" s="26">
        <v>178</v>
      </c>
      <c r="C65" s="26">
        <v>389</v>
      </c>
      <c r="D65" s="26">
        <v>62</v>
      </c>
      <c r="E65" s="26">
        <v>123</v>
      </c>
      <c r="F65" s="26">
        <v>4</v>
      </c>
      <c r="G65" s="26">
        <v>8</v>
      </c>
      <c r="H65" s="26">
        <v>18</v>
      </c>
      <c r="I65" s="26">
        <v>56</v>
      </c>
      <c r="J65" s="26">
        <v>0</v>
      </c>
      <c r="K65" s="26">
        <v>0</v>
      </c>
      <c r="L65" s="26">
        <v>0</v>
      </c>
      <c r="M65" s="26">
        <v>0</v>
      </c>
      <c r="N65" s="26">
        <v>0</v>
      </c>
      <c r="O65" s="26">
        <v>0</v>
      </c>
      <c r="P65" s="33">
        <f>SUM(B65+D65+F65+H65+J65+L65)</f>
        <v>262</v>
      </c>
      <c r="Q65" s="33">
        <f>SUM(C65+E65+G65+I65+K65+M65)</f>
        <v>576</v>
      </c>
    </row>
    <row r="66" spans="1:17" x14ac:dyDescent="0.35">
      <c r="A66" s="27" t="s">
        <v>59</v>
      </c>
      <c r="B66" s="28">
        <f t="shared" ref="B66:O66" si="9">SUM(B63:B64)</f>
        <v>2509</v>
      </c>
      <c r="C66" s="28">
        <f t="shared" si="9"/>
        <v>5696</v>
      </c>
      <c r="D66" s="28">
        <f t="shared" si="9"/>
        <v>1051</v>
      </c>
      <c r="E66" s="28">
        <f t="shared" si="9"/>
        <v>2649</v>
      </c>
      <c r="F66" s="28">
        <f t="shared" si="9"/>
        <v>258</v>
      </c>
      <c r="G66" s="28">
        <f t="shared" si="9"/>
        <v>596</v>
      </c>
      <c r="H66" s="28">
        <f t="shared" si="9"/>
        <v>557</v>
      </c>
      <c r="I66" s="28">
        <f t="shared" si="9"/>
        <v>1098</v>
      </c>
      <c r="J66" s="28">
        <f t="shared" si="9"/>
        <v>20</v>
      </c>
      <c r="K66" s="28">
        <f t="shared" si="9"/>
        <v>34</v>
      </c>
      <c r="L66" s="28">
        <f t="shared" si="9"/>
        <v>1</v>
      </c>
      <c r="M66" s="28">
        <f t="shared" si="9"/>
        <v>1</v>
      </c>
      <c r="N66" s="28">
        <f t="shared" si="9"/>
        <v>1</v>
      </c>
      <c r="O66" s="28">
        <f t="shared" si="9"/>
        <v>1</v>
      </c>
      <c r="P66" s="28">
        <f>SUM(P62:P65)</f>
        <v>4660</v>
      </c>
      <c r="Q66" s="28">
        <f>SUM(Q62:Q65)</f>
        <v>10653</v>
      </c>
    </row>
  </sheetData>
  <mergeCells count="15">
    <mergeCell ref="J60:K60"/>
    <mergeCell ref="L60:M60"/>
    <mergeCell ref="N60:O60"/>
    <mergeCell ref="P60:P61"/>
    <mergeCell ref="Q60:Q61"/>
    <mergeCell ref="A60:A61"/>
    <mergeCell ref="B60:C60"/>
    <mergeCell ref="D60:E60"/>
    <mergeCell ref="F60:G60"/>
    <mergeCell ref="H60:I60"/>
    <mergeCell ref="A1:N1"/>
    <mergeCell ref="B2:C2"/>
    <mergeCell ref="D2:I2"/>
    <mergeCell ref="J2:N2"/>
    <mergeCell ref="A59:Q59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6"/>
  <sheetViews>
    <sheetView zoomScale="80" zoomScaleNormal="80" workbookViewId="0">
      <pane ySplit="3" topLeftCell="A55" activePane="bottomLeft" state="frozen"/>
      <selection pane="bottomLeft" activeCell="B69" sqref="B69"/>
    </sheetView>
  </sheetViews>
  <sheetFormatPr baseColWidth="10" defaultColWidth="15.1796875" defaultRowHeight="14.5" x14ac:dyDescent="0.35"/>
  <cols>
    <col min="1" max="1" width="47.08984375" customWidth="1"/>
    <col min="2" max="2" width="12.81640625" customWidth="1"/>
    <col min="3" max="3" width="6.54296875" customWidth="1"/>
    <col min="4" max="4" width="12.26953125" customWidth="1"/>
    <col min="5" max="5" width="10.26953125" customWidth="1"/>
    <col min="6" max="6" width="11" customWidth="1"/>
    <col min="7" max="7" width="8.453125" customWidth="1"/>
    <col min="8" max="9" width="6.90625" customWidth="1"/>
    <col min="10" max="10" width="7.08984375" customWidth="1"/>
    <col min="11" max="11" width="8" customWidth="1"/>
    <col min="12" max="12" width="15.36328125" customWidth="1"/>
    <col min="13" max="14" width="12.453125" customWidth="1"/>
  </cols>
  <sheetData>
    <row r="1" spans="1:22" ht="26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7"/>
    </row>
    <row r="2" spans="1:22" ht="29.9" customHeight="1" x14ac:dyDescent="0.35">
      <c r="A2" s="8" t="s">
        <v>1</v>
      </c>
      <c r="B2" s="5" t="s">
        <v>89</v>
      </c>
      <c r="C2" s="5"/>
      <c r="D2" s="4" t="s">
        <v>3</v>
      </c>
      <c r="E2" s="4"/>
      <c r="F2" s="4"/>
      <c r="G2" s="4"/>
      <c r="H2" s="4"/>
      <c r="I2" s="4"/>
      <c r="J2" s="4" t="s">
        <v>4</v>
      </c>
      <c r="K2" s="4"/>
      <c r="L2" s="4"/>
      <c r="M2" s="4"/>
      <c r="N2" s="4"/>
      <c r="O2" s="9"/>
    </row>
    <row r="3" spans="1:22" x14ac:dyDescent="0.35">
      <c r="A3" s="10" t="s">
        <v>5</v>
      </c>
      <c r="B3" s="11" t="s">
        <v>6</v>
      </c>
      <c r="C3" s="12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13" t="s">
        <v>12</v>
      </c>
      <c r="I3" s="13" t="s">
        <v>71</v>
      </c>
      <c r="J3" s="13" t="s">
        <v>8</v>
      </c>
      <c r="K3" s="13" t="s">
        <v>9</v>
      </c>
      <c r="L3" s="13" t="s">
        <v>10</v>
      </c>
      <c r="M3" s="13" t="s">
        <v>11</v>
      </c>
      <c r="N3" s="13" t="s">
        <v>12</v>
      </c>
      <c r="O3" s="13" t="s">
        <v>71</v>
      </c>
    </row>
    <row r="4" spans="1:22" x14ac:dyDescent="0.35">
      <c r="A4" s="14">
        <v>3734</v>
      </c>
      <c r="B4" s="14">
        <f t="shared" ref="B4:O4" si="0">SUM(B5:B44)</f>
        <v>4642</v>
      </c>
      <c r="C4" s="14">
        <f t="shared" si="0"/>
        <v>9881</v>
      </c>
      <c r="D4" s="14">
        <f t="shared" si="0"/>
        <v>2610</v>
      </c>
      <c r="E4" s="14">
        <f t="shared" si="0"/>
        <v>1157</v>
      </c>
      <c r="F4" s="14">
        <f t="shared" si="0"/>
        <v>259</v>
      </c>
      <c r="G4" s="14">
        <f t="shared" si="0"/>
        <v>577</v>
      </c>
      <c r="H4" s="14">
        <f t="shared" si="0"/>
        <v>39</v>
      </c>
      <c r="I4" s="14">
        <f t="shared" si="0"/>
        <v>0</v>
      </c>
      <c r="J4" s="14">
        <f t="shared" si="0"/>
        <v>5554</v>
      </c>
      <c r="K4" s="14">
        <f t="shared" si="0"/>
        <v>2587</v>
      </c>
      <c r="L4" s="14">
        <f t="shared" si="0"/>
        <v>573</v>
      </c>
      <c r="M4" s="14">
        <f t="shared" si="0"/>
        <v>1128</v>
      </c>
      <c r="N4" s="14">
        <f t="shared" si="0"/>
        <v>39</v>
      </c>
      <c r="O4" s="14">
        <f t="shared" si="0"/>
        <v>0</v>
      </c>
      <c r="P4" s="15"/>
      <c r="Q4" s="15"/>
      <c r="R4" s="15"/>
      <c r="S4" s="15"/>
      <c r="T4" s="15"/>
      <c r="U4" s="15"/>
      <c r="V4" s="15"/>
    </row>
    <row r="5" spans="1:22" x14ac:dyDescent="0.35">
      <c r="A5" s="34" t="s">
        <v>13</v>
      </c>
      <c r="B5" s="17">
        <f t="shared" ref="B5:B36" si="1">SUM(D5:I5)</f>
        <v>9</v>
      </c>
      <c r="C5" s="17">
        <f t="shared" ref="C5:C36" si="2">SUM(J5:O5)</f>
        <v>19</v>
      </c>
      <c r="D5" s="16">
        <v>4</v>
      </c>
      <c r="E5" s="16">
        <v>4</v>
      </c>
      <c r="F5" s="16">
        <v>1</v>
      </c>
      <c r="G5" s="16">
        <v>0</v>
      </c>
      <c r="H5" s="16">
        <v>0</v>
      </c>
      <c r="I5" s="16">
        <v>0</v>
      </c>
      <c r="J5" s="16">
        <v>11</v>
      </c>
      <c r="K5" s="16">
        <v>6</v>
      </c>
      <c r="L5" s="16">
        <v>2</v>
      </c>
      <c r="M5" s="16">
        <v>0</v>
      </c>
      <c r="N5" s="16">
        <v>0</v>
      </c>
      <c r="O5" s="16">
        <v>0</v>
      </c>
    </row>
    <row r="6" spans="1:22" x14ac:dyDescent="0.35">
      <c r="A6" s="34" t="s">
        <v>14</v>
      </c>
      <c r="B6" s="17">
        <f t="shared" si="1"/>
        <v>156</v>
      </c>
      <c r="C6" s="17">
        <f t="shared" si="2"/>
        <v>243</v>
      </c>
      <c r="D6" s="16">
        <v>75</v>
      </c>
      <c r="E6" s="16">
        <v>49</v>
      </c>
      <c r="F6" s="16">
        <v>14</v>
      </c>
      <c r="G6" s="16">
        <v>18</v>
      </c>
      <c r="H6" s="16">
        <v>0</v>
      </c>
      <c r="I6" s="16">
        <v>0</v>
      </c>
      <c r="J6" s="16">
        <v>126</v>
      </c>
      <c r="K6" s="16">
        <v>65</v>
      </c>
      <c r="L6" s="16">
        <v>22</v>
      </c>
      <c r="M6" s="16">
        <v>30</v>
      </c>
      <c r="N6" s="16">
        <v>0</v>
      </c>
      <c r="O6" s="16">
        <v>0</v>
      </c>
    </row>
    <row r="7" spans="1:22" x14ac:dyDescent="0.35">
      <c r="A7" s="34" t="s">
        <v>15</v>
      </c>
      <c r="B7" s="17">
        <f t="shared" si="1"/>
        <v>30</v>
      </c>
      <c r="C7" s="17">
        <f t="shared" si="2"/>
        <v>64</v>
      </c>
      <c r="D7" s="16">
        <v>16</v>
      </c>
      <c r="E7" s="16">
        <v>11</v>
      </c>
      <c r="F7" s="16">
        <v>0</v>
      </c>
      <c r="G7" s="16">
        <v>3</v>
      </c>
      <c r="H7" s="16">
        <v>0</v>
      </c>
      <c r="I7" s="16">
        <v>0</v>
      </c>
      <c r="J7" s="16">
        <v>36</v>
      </c>
      <c r="K7" s="16">
        <v>22</v>
      </c>
      <c r="L7" s="16">
        <v>0</v>
      </c>
      <c r="M7" s="16">
        <v>6</v>
      </c>
      <c r="N7" s="16">
        <v>0</v>
      </c>
      <c r="O7" s="16">
        <v>0</v>
      </c>
    </row>
    <row r="8" spans="1:22" x14ac:dyDescent="0.35">
      <c r="A8" s="34" t="s">
        <v>16</v>
      </c>
      <c r="B8" s="17">
        <f t="shared" si="1"/>
        <v>129</v>
      </c>
      <c r="C8" s="17">
        <f t="shared" si="2"/>
        <v>358</v>
      </c>
      <c r="D8" s="16">
        <v>70</v>
      </c>
      <c r="E8" s="16">
        <v>25</v>
      </c>
      <c r="F8" s="16">
        <v>11</v>
      </c>
      <c r="G8" s="16">
        <v>23</v>
      </c>
      <c r="H8" s="16">
        <v>0</v>
      </c>
      <c r="I8" s="16">
        <v>0</v>
      </c>
      <c r="J8" s="16">
        <v>186</v>
      </c>
      <c r="K8" s="16">
        <v>73</v>
      </c>
      <c r="L8" s="16">
        <v>40</v>
      </c>
      <c r="M8" s="16">
        <v>59</v>
      </c>
      <c r="N8" s="16">
        <v>0</v>
      </c>
      <c r="O8" s="16">
        <v>0</v>
      </c>
    </row>
    <row r="9" spans="1:22" x14ac:dyDescent="0.35">
      <c r="A9" s="34" t="s">
        <v>18</v>
      </c>
      <c r="B9" s="17">
        <f t="shared" si="1"/>
        <v>766</v>
      </c>
      <c r="C9" s="17">
        <f t="shared" si="2"/>
        <v>1781</v>
      </c>
      <c r="D9" s="16">
        <v>446</v>
      </c>
      <c r="E9" s="16">
        <v>179</v>
      </c>
      <c r="F9" s="16">
        <v>40</v>
      </c>
      <c r="G9" s="16">
        <v>101</v>
      </c>
      <c r="H9" s="16">
        <v>0</v>
      </c>
      <c r="I9" s="16">
        <v>0</v>
      </c>
      <c r="J9" s="16">
        <v>978</v>
      </c>
      <c r="K9" s="16">
        <v>501</v>
      </c>
      <c r="L9" s="16">
        <v>85</v>
      </c>
      <c r="M9" s="16">
        <v>217</v>
      </c>
      <c r="N9" s="16">
        <v>0</v>
      </c>
      <c r="O9" s="16">
        <v>0</v>
      </c>
    </row>
    <row r="10" spans="1:22" x14ac:dyDescent="0.35">
      <c r="A10" s="34" t="s">
        <v>20</v>
      </c>
      <c r="B10" s="17">
        <f t="shared" si="1"/>
        <v>46</v>
      </c>
      <c r="C10" s="17">
        <f t="shared" si="2"/>
        <v>122</v>
      </c>
      <c r="D10" s="16">
        <v>22</v>
      </c>
      <c r="E10" s="16">
        <v>13</v>
      </c>
      <c r="F10" s="16">
        <v>1</v>
      </c>
      <c r="G10" s="16">
        <v>10</v>
      </c>
      <c r="H10" s="16">
        <v>0</v>
      </c>
      <c r="I10" s="16">
        <v>0</v>
      </c>
      <c r="J10" s="16">
        <v>47</v>
      </c>
      <c r="K10" s="16">
        <v>44</v>
      </c>
      <c r="L10" s="16">
        <v>1</v>
      </c>
      <c r="M10" s="16">
        <v>30</v>
      </c>
      <c r="N10" s="16">
        <v>0</v>
      </c>
      <c r="O10" s="16">
        <v>0</v>
      </c>
    </row>
    <row r="11" spans="1:22" x14ac:dyDescent="0.35">
      <c r="A11" s="34" t="s">
        <v>21</v>
      </c>
      <c r="B11" s="17">
        <f t="shared" si="1"/>
        <v>395</v>
      </c>
      <c r="C11" s="17">
        <f t="shared" si="2"/>
        <v>1012</v>
      </c>
      <c r="D11" s="16">
        <v>233</v>
      </c>
      <c r="E11" s="16">
        <v>103</v>
      </c>
      <c r="F11" s="16">
        <v>11</v>
      </c>
      <c r="G11" s="16">
        <v>48</v>
      </c>
      <c r="H11" s="16">
        <v>0</v>
      </c>
      <c r="I11" s="16">
        <v>0</v>
      </c>
      <c r="J11" s="16">
        <v>609</v>
      </c>
      <c r="K11" s="16">
        <v>264</v>
      </c>
      <c r="L11" s="16">
        <v>18</v>
      </c>
      <c r="M11" s="16">
        <v>121</v>
      </c>
      <c r="N11" s="16">
        <v>0</v>
      </c>
      <c r="O11" s="16">
        <v>0</v>
      </c>
    </row>
    <row r="12" spans="1:22" x14ac:dyDescent="0.35">
      <c r="A12" s="34" t="s">
        <v>22</v>
      </c>
      <c r="B12" s="17">
        <f t="shared" si="1"/>
        <v>170</v>
      </c>
      <c r="C12" s="17">
        <f t="shared" si="2"/>
        <v>357</v>
      </c>
      <c r="D12" s="16">
        <v>105</v>
      </c>
      <c r="E12" s="16">
        <v>37</v>
      </c>
      <c r="F12" s="16">
        <v>7</v>
      </c>
      <c r="G12" s="16">
        <v>21</v>
      </c>
      <c r="H12" s="16">
        <v>0</v>
      </c>
      <c r="I12" s="16">
        <v>0</v>
      </c>
      <c r="J12" s="16">
        <v>219</v>
      </c>
      <c r="K12" s="16">
        <v>87</v>
      </c>
      <c r="L12" s="16">
        <v>17</v>
      </c>
      <c r="M12" s="16">
        <v>34</v>
      </c>
      <c r="N12" s="16">
        <v>0</v>
      </c>
      <c r="O12" s="16">
        <v>0</v>
      </c>
    </row>
    <row r="13" spans="1:22" x14ac:dyDescent="0.35">
      <c r="A13" s="34" t="s">
        <v>23</v>
      </c>
      <c r="B13" s="17">
        <f t="shared" si="1"/>
        <v>105</v>
      </c>
      <c r="C13" s="17">
        <f t="shared" si="2"/>
        <v>301</v>
      </c>
      <c r="D13" s="16">
        <v>43</v>
      </c>
      <c r="E13" s="16">
        <v>30</v>
      </c>
      <c r="F13" s="16">
        <v>14</v>
      </c>
      <c r="G13" s="16">
        <v>18</v>
      </c>
      <c r="H13" s="16">
        <v>0</v>
      </c>
      <c r="I13" s="16">
        <v>0</v>
      </c>
      <c r="J13" s="16">
        <v>143</v>
      </c>
      <c r="K13" s="16">
        <v>85</v>
      </c>
      <c r="L13" s="16">
        <v>30</v>
      </c>
      <c r="M13" s="16">
        <v>43</v>
      </c>
      <c r="N13" s="16">
        <v>0</v>
      </c>
      <c r="O13" s="16">
        <v>0</v>
      </c>
    </row>
    <row r="14" spans="1:22" x14ac:dyDescent="0.35">
      <c r="A14" s="34" t="s">
        <v>24</v>
      </c>
      <c r="B14" s="17">
        <f t="shared" si="1"/>
        <v>46</v>
      </c>
      <c r="C14" s="17">
        <f t="shared" si="2"/>
        <v>158</v>
      </c>
      <c r="D14" s="16">
        <v>17</v>
      </c>
      <c r="E14" s="16">
        <v>16</v>
      </c>
      <c r="F14" s="16">
        <v>11</v>
      </c>
      <c r="G14" s="16">
        <v>2</v>
      </c>
      <c r="H14" s="16">
        <v>0</v>
      </c>
      <c r="I14" s="16">
        <v>0</v>
      </c>
      <c r="J14" s="16">
        <v>56</v>
      </c>
      <c r="K14" s="16">
        <v>63</v>
      </c>
      <c r="L14" s="16">
        <v>37</v>
      </c>
      <c r="M14" s="16">
        <v>2</v>
      </c>
      <c r="N14" s="16">
        <v>0</v>
      </c>
      <c r="O14" s="16">
        <v>0</v>
      </c>
    </row>
    <row r="15" spans="1:22" x14ac:dyDescent="0.35">
      <c r="A15" s="34" t="s">
        <v>25</v>
      </c>
      <c r="B15" s="17">
        <f t="shared" si="1"/>
        <v>239</v>
      </c>
      <c r="C15" s="17">
        <f t="shared" si="2"/>
        <v>513</v>
      </c>
      <c r="D15" s="16">
        <v>139</v>
      </c>
      <c r="E15" s="16">
        <v>45</v>
      </c>
      <c r="F15" s="16">
        <v>10</v>
      </c>
      <c r="G15" s="16">
        <v>45</v>
      </c>
      <c r="H15" s="16">
        <v>0</v>
      </c>
      <c r="I15" s="16">
        <v>0</v>
      </c>
      <c r="J15" s="16">
        <v>288</v>
      </c>
      <c r="K15" s="16">
        <v>131</v>
      </c>
      <c r="L15" s="16">
        <v>25</v>
      </c>
      <c r="M15" s="16">
        <v>69</v>
      </c>
      <c r="N15" s="16">
        <v>0</v>
      </c>
      <c r="O15" s="16">
        <v>0</v>
      </c>
    </row>
    <row r="16" spans="1:22" x14ac:dyDescent="0.35">
      <c r="A16" s="34" t="s">
        <v>27</v>
      </c>
      <c r="B16" s="17">
        <f t="shared" si="1"/>
        <v>86</v>
      </c>
      <c r="C16" s="17">
        <f t="shared" si="2"/>
        <v>151</v>
      </c>
      <c r="D16" s="16">
        <v>36</v>
      </c>
      <c r="E16" s="16">
        <v>27</v>
      </c>
      <c r="F16" s="16">
        <v>4</v>
      </c>
      <c r="G16" s="16">
        <v>19</v>
      </c>
      <c r="H16" s="16">
        <v>0</v>
      </c>
      <c r="I16" s="16">
        <v>0</v>
      </c>
      <c r="J16" s="16">
        <v>61</v>
      </c>
      <c r="K16" s="16">
        <v>50</v>
      </c>
      <c r="L16" s="16">
        <v>7</v>
      </c>
      <c r="M16" s="16">
        <v>33</v>
      </c>
      <c r="N16" s="16">
        <v>0</v>
      </c>
      <c r="O16" s="16">
        <v>0</v>
      </c>
    </row>
    <row r="17" spans="1:15" x14ac:dyDescent="0.35">
      <c r="A17" s="34" t="s">
        <v>28</v>
      </c>
      <c r="B17" s="17">
        <f t="shared" si="1"/>
        <v>116</v>
      </c>
      <c r="C17" s="17">
        <f t="shared" si="2"/>
        <v>203</v>
      </c>
      <c r="D17" s="16">
        <v>71</v>
      </c>
      <c r="E17" s="16">
        <v>32</v>
      </c>
      <c r="F17" s="16">
        <v>6</v>
      </c>
      <c r="G17" s="16">
        <v>7</v>
      </c>
      <c r="H17" s="16">
        <v>0</v>
      </c>
      <c r="I17" s="16">
        <v>0</v>
      </c>
      <c r="J17" s="16">
        <v>119</v>
      </c>
      <c r="K17" s="16">
        <v>62</v>
      </c>
      <c r="L17" s="16">
        <v>11</v>
      </c>
      <c r="M17" s="16">
        <v>11</v>
      </c>
      <c r="N17" s="16">
        <v>0</v>
      </c>
      <c r="O17" s="16">
        <v>0</v>
      </c>
    </row>
    <row r="18" spans="1:15" x14ac:dyDescent="0.35">
      <c r="A18" s="34" t="s">
        <v>29</v>
      </c>
      <c r="B18" s="17">
        <f t="shared" si="1"/>
        <v>140</v>
      </c>
      <c r="C18" s="17">
        <f t="shared" si="2"/>
        <v>228</v>
      </c>
      <c r="D18" s="16">
        <v>101</v>
      </c>
      <c r="E18" s="16">
        <v>35</v>
      </c>
      <c r="F18" s="16">
        <v>0</v>
      </c>
      <c r="G18" s="16">
        <v>4</v>
      </c>
      <c r="H18" s="16">
        <v>0</v>
      </c>
      <c r="I18" s="16">
        <v>0</v>
      </c>
      <c r="J18" s="16">
        <v>158</v>
      </c>
      <c r="K18" s="16">
        <v>64</v>
      </c>
      <c r="L18" s="16">
        <v>0</v>
      </c>
      <c r="M18" s="16">
        <v>6</v>
      </c>
      <c r="N18" s="16">
        <v>0</v>
      </c>
      <c r="O18" s="16">
        <v>0</v>
      </c>
    </row>
    <row r="19" spans="1:15" x14ac:dyDescent="0.35">
      <c r="A19" s="34" t="s">
        <v>30</v>
      </c>
      <c r="B19" s="17">
        <f t="shared" si="1"/>
        <v>119</v>
      </c>
      <c r="C19" s="17">
        <f t="shared" si="2"/>
        <v>225</v>
      </c>
      <c r="D19" s="16">
        <v>82</v>
      </c>
      <c r="E19" s="16">
        <v>28</v>
      </c>
      <c r="F19" s="16">
        <v>2</v>
      </c>
      <c r="G19" s="16">
        <v>7</v>
      </c>
      <c r="H19" s="16">
        <v>0</v>
      </c>
      <c r="I19" s="16">
        <v>0</v>
      </c>
      <c r="J19" s="16">
        <v>174</v>
      </c>
      <c r="K19" s="16">
        <v>41</v>
      </c>
      <c r="L19" s="16">
        <v>2</v>
      </c>
      <c r="M19" s="16">
        <v>8</v>
      </c>
      <c r="N19" s="16">
        <v>0</v>
      </c>
      <c r="O19" s="16">
        <v>0</v>
      </c>
    </row>
    <row r="20" spans="1:15" x14ac:dyDescent="0.35">
      <c r="A20" s="34" t="s">
        <v>82</v>
      </c>
      <c r="B20" s="17">
        <f t="shared" si="1"/>
        <v>67</v>
      </c>
      <c r="C20" s="17">
        <f t="shared" si="2"/>
        <v>68</v>
      </c>
      <c r="D20" s="16">
        <v>14</v>
      </c>
      <c r="E20" s="16">
        <v>9</v>
      </c>
      <c r="F20" s="16">
        <v>8</v>
      </c>
      <c r="G20" s="16">
        <v>33</v>
      </c>
      <c r="H20" s="16">
        <v>3</v>
      </c>
      <c r="I20" s="16">
        <v>0</v>
      </c>
      <c r="J20" s="16">
        <v>14</v>
      </c>
      <c r="K20" s="16">
        <v>9</v>
      </c>
      <c r="L20" s="16">
        <v>8</v>
      </c>
      <c r="M20" s="16">
        <v>34</v>
      </c>
      <c r="N20" s="16">
        <v>3</v>
      </c>
      <c r="O20" s="16">
        <v>0</v>
      </c>
    </row>
    <row r="21" spans="1:15" x14ac:dyDescent="0.35">
      <c r="A21" s="34" t="s">
        <v>83</v>
      </c>
      <c r="B21" s="17">
        <f t="shared" si="1"/>
        <v>5</v>
      </c>
      <c r="C21" s="17">
        <f t="shared" si="2"/>
        <v>5</v>
      </c>
      <c r="D21" s="16">
        <v>0</v>
      </c>
      <c r="E21" s="16">
        <v>0</v>
      </c>
      <c r="F21" s="16">
        <v>0</v>
      </c>
      <c r="G21" s="16">
        <v>0</v>
      </c>
      <c r="H21" s="16">
        <v>5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5</v>
      </c>
      <c r="O21" s="16">
        <v>0</v>
      </c>
    </row>
    <row r="22" spans="1:15" x14ac:dyDescent="0.35">
      <c r="A22" s="34" t="s">
        <v>73</v>
      </c>
      <c r="B22" s="17">
        <f t="shared" si="1"/>
        <v>1</v>
      </c>
      <c r="C22" s="17">
        <f t="shared" si="2"/>
        <v>1</v>
      </c>
      <c r="D22" s="16">
        <v>0</v>
      </c>
      <c r="E22" s="16">
        <v>0</v>
      </c>
      <c r="F22" s="16">
        <v>0</v>
      </c>
      <c r="G22" s="16">
        <v>0</v>
      </c>
      <c r="H22" s="16">
        <v>1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1</v>
      </c>
      <c r="O22" s="16">
        <v>0</v>
      </c>
    </row>
    <row r="23" spans="1:15" x14ac:dyDescent="0.35">
      <c r="A23" s="34" t="s">
        <v>65</v>
      </c>
      <c r="B23" s="17">
        <f t="shared" si="1"/>
        <v>5</v>
      </c>
      <c r="C23" s="17">
        <f t="shared" si="2"/>
        <v>5</v>
      </c>
      <c r="D23" s="16">
        <v>0</v>
      </c>
      <c r="E23" s="16">
        <v>0</v>
      </c>
      <c r="F23" s="16">
        <v>0</v>
      </c>
      <c r="G23" s="16">
        <v>0</v>
      </c>
      <c r="H23" s="16">
        <v>5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5</v>
      </c>
      <c r="O23" s="16">
        <v>0</v>
      </c>
    </row>
    <row r="24" spans="1:15" x14ac:dyDescent="0.35">
      <c r="A24" s="34" t="s">
        <v>74</v>
      </c>
      <c r="B24" s="17">
        <f t="shared" si="1"/>
        <v>8</v>
      </c>
      <c r="C24" s="17">
        <f t="shared" si="2"/>
        <v>8</v>
      </c>
      <c r="D24" s="16">
        <v>0</v>
      </c>
      <c r="E24" s="16">
        <v>0</v>
      </c>
      <c r="F24" s="16">
        <v>0</v>
      </c>
      <c r="G24" s="16">
        <v>0</v>
      </c>
      <c r="H24" s="16">
        <v>8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8</v>
      </c>
      <c r="O24" s="16">
        <v>0</v>
      </c>
    </row>
    <row r="25" spans="1:15" x14ac:dyDescent="0.35">
      <c r="A25" s="34" t="s">
        <v>75</v>
      </c>
      <c r="B25" s="17">
        <f t="shared" si="1"/>
        <v>4</v>
      </c>
      <c r="C25" s="17">
        <f t="shared" si="2"/>
        <v>4</v>
      </c>
      <c r="D25" s="16">
        <v>0</v>
      </c>
      <c r="E25" s="16">
        <v>0</v>
      </c>
      <c r="F25" s="16">
        <v>0</v>
      </c>
      <c r="G25" s="16">
        <v>0</v>
      </c>
      <c r="H25" s="16">
        <v>4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4</v>
      </c>
      <c r="O25" s="16">
        <v>0</v>
      </c>
    </row>
    <row r="26" spans="1:15" x14ac:dyDescent="0.35">
      <c r="A26" s="34" t="s">
        <v>76</v>
      </c>
      <c r="B26" s="17">
        <f t="shared" si="1"/>
        <v>1</v>
      </c>
      <c r="C26" s="17">
        <f t="shared" si="2"/>
        <v>1</v>
      </c>
      <c r="D26" s="16">
        <v>0</v>
      </c>
      <c r="E26" s="16">
        <v>0</v>
      </c>
      <c r="F26" s="16">
        <v>0</v>
      </c>
      <c r="G26" s="16">
        <v>0</v>
      </c>
      <c r="H26" s="16">
        <v>1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1</v>
      </c>
      <c r="O26" s="16">
        <v>0</v>
      </c>
    </row>
    <row r="27" spans="1:15" x14ac:dyDescent="0.35">
      <c r="A27" s="34" t="s">
        <v>84</v>
      </c>
      <c r="B27" s="17">
        <f t="shared" si="1"/>
        <v>1</v>
      </c>
      <c r="C27" s="17">
        <f t="shared" si="2"/>
        <v>1</v>
      </c>
      <c r="D27" s="16">
        <v>0</v>
      </c>
      <c r="E27" s="16">
        <v>0</v>
      </c>
      <c r="F27" s="16">
        <v>0</v>
      </c>
      <c r="G27" s="16">
        <v>0</v>
      </c>
      <c r="H27" s="16">
        <v>1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1</v>
      </c>
      <c r="O27" s="16">
        <v>0</v>
      </c>
    </row>
    <row r="28" spans="1:15" x14ac:dyDescent="0.35">
      <c r="A28" s="34" t="s">
        <v>66</v>
      </c>
      <c r="B28" s="17">
        <f t="shared" si="1"/>
        <v>5</v>
      </c>
      <c r="C28" s="17">
        <f t="shared" si="2"/>
        <v>5</v>
      </c>
      <c r="D28" s="16">
        <v>0</v>
      </c>
      <c r="E28" s="16">
        <v>0</v>
      </c>
      <c r="F28" s="16">
        <v>1</v>
      </c>
      <c r="G28" s="16">
        <v>0</v>
      </c>
      <c r="H28" s="16">
        <v>4</v>
      </c>
      <c r="I28" s="16">
        <v>0</v>
      </c>
      <c r="J28" s="16">
        <v>0</v>
      </c>
      <c r="K28" s="16">
        <v>0</v>
      </c>
      <c r="L28" s="16">
        <v>1</v>
      </c>
      <c r="M28" s="16">
        <v>0</v>
      </c>
      <c r="N28" s="16">
        <v>4</v>
      </c>
      <c r="O28" s="16">
        <v>0</v>
      </c>
    </row>
    <row r="29" spans="1:15" x14ac:dyDescent="0.35">
      <c r="A29" s="34" t="s">
        <v>77</v>
      </c>
      <c r="B29" s="17">
        <f t="shared" si="1"/>
        <v>2</v>
      </c>
      <c r="C29" s="17">
        <f t="shared" si="2"/>
        <v>2</v>
      </c>
      <c r="D29" s="16">
        <v>0</v>
      </c>
      <c r="E29" s="16">
        <v>0</v>
      </c>
      <c r="F29" s="16">
        <v>0</v>
      </c>
      <c r="G29" s="16">
        <v>0</v>
      </c>
      <c r="H29" s="16">
        <v>2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2</v>
      </c>
      <c r="O29" s="16">
        <v>0</v>
      </c>
    </row>
    <row r="30" spans="1:15" x14ac:dyDescent="0.35">
      <c r="A30" s="34" t="s">
        <v>78</v>
      </c>
      <c r="B30" s="17">
        <f t="shared" si="1"/>
        <v>2</v>
      </c>
      <c r="C30" s="17">
        <f t="shared" si="2"/>
        <v>2</v>
      </c>
      <c r="D30" s="16">
        <v>0</v>
      </c>
      <c r="E30" s="16">
        <v>0</v>
      </c>
      <c r="F30" s="16">
        <v>0</v>
      </c>
      <c r="G30" s="16">
        <v>0</v>
      </c>
      <c r="H30" s="16">
        <v>2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2</v>
      </c>
      <c r="O30" s="16">
        <v>0</v>
      </c>
    </row>
    <row r="31" spans="1:15" x14ac:dyDescent="0.35">
      <c r="A31" s="34" t="s">
        <v>90</v>
      </c>
      <c r="B31" s="17">
        <f t="shared" si="1"/>
        <v>2</v>
      </c>
      <c r="C31" s="17">
        <f t="shared" si="2"/>
        <v>2</v>
      </c>
      <c r="D31" s="16">
        <v>0</v>
      </c>
      <c r="E31" s="16">
        <v>0</v>
      </c>
      <c r="F31" s="16">
        <v>0</v>
      </c>
      <c r="G31" s="16">
        <v>0</v>
      </c>
      <c r="H31" s="16">
        <v>2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2</v>
      </c>
      <c r="O31" s="16">
        <v>0</v>
      </c>
    </row>
    <row r="32" spans="1:15" x14ac:dyDescent="0.35">
      <c r="A32" s="34" t="s">
        <v>85</v>
      </c>
      <c r="B32" s="17">
        <f t="shared" si="1"/>
        <v>1</v>
      </c>
      <c r="C32" s="17">
        <f t="shared" si="2"/>
        <v>1</v>
      </c>
      <c r="D32" s="16">
        <v>0</v>
      </c>
      <c r="E32" s="16">
        <v>0</v>
      </c>
      <c r="F32" s="16">
        <v>0</v>
      </c>
      <c r="G32" s="16">
        <v>0</v>
      </c>
      <c r="H32" s="16">
        <v>1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1</v>
      </c>
      <c r="O32" s="16">
        <v>0</v>
      </c>
    </row>
    <row r="33" spans="1:22" x14ac:dyDescent="0.35">
      <c r="A33" s="34" t="s">
        <v>31</v>
      </c>
      <c r="B33" s="17">
        <f t="shared" si="1"/>
        <v>10</v>
      </c>
      <c r="C33" s="17">
        <f t="shared" si="2"/>
        <v>34</v>
      </c>
      <c r="D33" s="16">
        <v>6</v>
      </c>
      <c r="E33" s="16">
        <v>4</v>
      </c>
      <c r="F33" s="16">
        <v>0</v>
      </c>
      <c r="G33" s="16">
        <v>0</v>
      </c>
      <c r="H33" s="16">
        <v>0</v>
      </c>
      <c r="I33" s="16">
        <v>0</v>
      </c>
      <c r="J33" s="16">
        <v>19</v>
      </c>
      <c r="K33" s="16">
        <v>15</v>
      </c>
      <c r="L33" s="16">
        <v>0</v>
      </c>
      <c r="M33" s="16">
        <v>0</v>
      </c>
      <c r="N33" s="16">
        <v>0</v>
      </c>
      <c r="O33" s="16">
        <v>0</v>
      </c>
    </row>
    <row r="34" spans="1:22" x14ac:dyDescent="0.35">
      <c r="A34" s="34" t="s">
        <v>32</v>
      </c>
      <c r="B34" s="17">
        <f t="shared" si="1"/>
        <v>19</v>
      </c>
      <c r="C34" s="17">
        <f t="shared" si="2"/>
        <v>41</v>
      </c>
      <c r="D34" s="16">
        <v>12</v>
      </c>
      <c r="E34" s="16">
        <v>4</v>
      </c>
      <c r="F34" s="16">
        <v>3</v>
      </c>
      <c r="G34" s="16">
        <v>0</v>
      </c>
      <c r="H34" s="16">
        <v>0</v>
      </c>
      <c r="I34" s="16">
        <v>0</v>
      </c>
      <c r="J34" s="16">
        <v>28</v>
      </c>
      <c r="K34" s="16">
        <v>7</v>
      </c>
      <c r="L34" s="16">
        <v>6</v>
      </c>
      <c r="M34" s="16">
        <v>0</v>
      </c>
      <c r="N34" s="16">
        <v>0</v>
      </c>
      <c r="O34" s="16">
        <v>0</v>
      </c>
    </row>
    <row r="35" spans="1:22" x14ac:dyDescent="0.35">
      <c r="A35" s="34" t="s">
        <v>33</v>
      </c>
      <c r="B35" s="17">
        <f t="shared" si="1"/>
        <v>89</v>
      </c>
      <c r="C35" s="17">
        <f t="shared" si="2"/>
        <v>238</v>
      </c>
      <c r="D35" s="16">
        <v>50</v>
      </c>
      <c r="E35" s="16">
        <v>14</v>
      </c>
      <c r="F35" s="16">
        <v>9</v>
      </c>
      <c r="G35" s="16">
        <v>16</v>
      </c>
      <c r="H35" s="16">
        <v>0</v>
      </c>
      <c r="I35" s="16">
        <v>0</v>
      </c>
      <c r="J35" s="16">
        <v>136</v>
      </c>
      <c r="K35" s="16">
        <v>31</v>
      </c>
      <c r="L35" s="16">
        <v>33</v>
      </c>
      <c r="M35" s="16">
        <v>38</v>
      </c>
      <c r="N35" s="16">
        <v>0</v>
      </c>
      <c r="O35" s="16">
        <v>0</v>
      </c>
    </row>
    <row r="36" spans="1:22" x14ac:dyDescent="0.35">
      <c r="A36" s="34" t="s">
        <v>34</v>
      </c>
      <c r="B36" s="17">
        <f t="shared" si="1"/>
        <v>996</v>
      </c>
      <c r="C36" s="17">
        <f t="shared" si="2"/>
        <v>2115</v>
      </c>
      <c r="D36" s="16">
        <v>644</v>
      </c>
      <c r="E36" s="16">
        <v>220</v>
      </c>
      <c r="F36" s="16">
        <v>44</v>
      </c>
      <c r="G36" s="16">
        <v>88</v>
      </c>
      <c r="H36" s="16">
        <v>0</v>
      </c>
      <c r="I36" s="16">
        <v>0</v>
      </c>
      <c r="J36" s="16">
        <v>1370</v>
      </c>
      <c r="K36" s="16">
        <v>451</v>
      </c>
      <c r="L36" s="16">
        <v>104</v>
      </c>
      <c r="M36" s="16">
        <v>190</v>
      </c>
      <c r="N36" s="16">
        <v>0</v>
      </c>
      <c r="O36" s="16">
        <v>0</v>
      </c>
    </row>
    <row r="37" spans="1:22" x14ac:dyDescent="0.35">
      <c r="A37" s="34" t="s">
        <v>35</v>
      </c>
      <c r="B37" s="17">
        <f t="shared" ref="B37:B53" si="3">SUM(D37:I37)</f>
        <v>375</v>
      </c>
      <c r="C37" s="17">
        <f t="shared" ref="C37:C53" si="4">SUM(J37:O37)</f>
        <v>596</v>
      </c>
      <c r="D37" s="16">
        <v>180</v>
      </c>
      <c r="E37" s="16">
        <v>111</v>
      </c>
      <c r="F37" s="16">
        <v>24</v>
      </c>
      <c r="G37" s="16">
        <v>60</v>
      </c>
      <c r="H37" s="16">
        <v>0</v>
      </c>
      <c r="I37" s="16">
        <v>0</v>
      </c>
      <c r="J37" s="16">
        <v>281</v>
      </c>
      <c r="K37" s="16">
        <v>191</v>
      </c>
      <c r="L37" s="16">
        <v>40</v>
      </c>
      <c r="M37" s="16">
        <v>84</v>
      </c>
      <c r="N37" s="16">
        <v>0</v>
      </c>
      <c r="O37" s="16">
        <v>0</v>
      </c>
    </row>
    <row r="38" spans="1:22" x14ac:dyDescent="0.35">
      <c r="A38" s="34" t="s">
        <v>36</v>
      </c>
      <c r="B38" s="17">
        <f t="shared" si="3"/>
        <v>23</v>
      </c>
      <c r="C38" s="17">
        <f t="shared" si="4"/>
        <v>28</v>
      </c>
      <c r="D38" s="16">
        <v>11</v>
      </c>
      <c r="E38" s="16">
        <v>9</v>
      </c>
      <c r="F38" s="16">
        <v>1</v>
      </c>
      <c r="G38" s="16">
        <v>2</v>
      </c>
      <c r="H38" s="16">
        <v>0</v>
      </c>
      <c r="I38" s="16">
        <v>0</v>
      </c>
      <c r="J38" s="16">
        <v>13</v>
      </c>
      <c r="K38" s="16">
        <v>11</v>
      </c>
      <c r="L38" s="16">
        <v>2</v>
      </c>
      <c r="M38" s="16">
        <v>2</v>
      </c>
      <c r="N38" s="16">
        <v>0</v>
      </c>
      <c r="O38" s="16">
        <v>0</v>
      </c>
    </row>
    <row r="39" spans="1:22" x14ac:dyDescent="0.35">
      <c r="A39" s="34" t="s">
        <v>37</v>
      </c>
      <c r="B39" s="17">
        <f t="shared" si="3"/>
        <v>196</v>
      </c>
      <c r="C39" s="17">
        <f t="shared" si="4"/>
        <v>376</v>
      </c>
      <c r="D39" s="16">
        <v>96</v>
      </c>
      <c r="E39" s="16">
        <v>69</v>
      </c>
      <c r="F39" s="16">
        <v>15</v>
      </c>
      <c r="G39" s="16">
        <v>16</v>
      </c>
      <c r="H39" s="16">
        <v>0</v>
      </c>
      <c r="I39" s="16">
        <v>0</v>
      </c>
      <c r="J39" s="16">
        <v>193</v>
      </c>
      <c r="K39" s="16">
        <v>133</v>
      </c>
      <c r="L39" s="16">
        <v>25</v>
      </c>
      <c r="M39" s="16">
        <v>25</v>
      </c>
      <c r="N39" s="16">
        <v>0</v>
      </c>
      <c r="O39" s="16">
        <v>0</v>
      </c>
    </row>
    <row r="40" spans="1:22" x14ac:dyDescent="0.35">
      <c r="A40" s="34" t="s">
        <v>38</v>
      </c>
      <c r="B40" s="17">
        <f t="shared" si="3"/>
        <v>97</v>
      </c>
      <c r="C40" s="17">
        <f t="shared" si="4"/>
        <v>259</v>
      </c>
      <c r="D40" s="16">
        <v>56</v>
      </c>
      <c r="E40" s="16">
        <v>21</v>
      </c>
      <c r="F40" s="16">
        <v>4</v>
      </c>
      <c r="G40" s="16">
        <v>16</v>
      </c>
      <c r="H40" s="16">
        <v>0</v>
      </c>
      <c r="I40" s="16">
        <v>0</v>
      </c>
      <c r="J40" s="16">
        <v>145</v>
      </c>
      <c r="K40" s="16">
        <v>50</v>
      </c>
      <c r="L40" s="16">
        <v>10</v>
      </c>
      <c r="M40" s="16">
        <v>54</v>
      </c>
      <c r="N40" s="16">
        <v>0</v>
      </c>
      <c r="O40" s="16">
        <v>0</v>
      </c>
    </row>
    <row r="41" spans="1:22" x14ac:dyDescent="0.35">
      <c r="A41" s="34" t="s">
        <v>39</v>
      </c>
      <c r="B41" s="17">
        <f t="shared" si="3"/>
        <v>55</v>
      </c>
      <c r="C41" s="17">
        <f t="shared" si="4"/>
        <v>106</v>
      </c>
      <c r="D41" s="16">
        <v>37</v>
      </c>
      <c r="E41" s="16">
        <v>13</v>
      </c>
      <c r="F41" s="16">
        <v>1</v>
      </c>
      <c r="G41" s="16">
        <v>4</v>
      </c>
      <c r="H41" s="16">
        <v>0</v>
      </c>
      <c r="I41" s="16">
        <v>0</v>
      </c>
      <c r="J41" s="16">
        <v>71</v>
      </c>
      <c r="K41" s="16">
        <v>26</v>
      </c>
      <c r="L41" s="16">
        <v>2</v>
      </c>
      <c r="M41" s="16">
        <v>7</v>
      </c>
      <c r="N41" s="16">
        <v>0</v>
      </c>
      <c r="O41" s="16">
        <v>0</v>
      </c>
    </row>
    <row r="42" spans="1:22" x14ac:dyDescent="0.35">
      <c r="A42" s="34" t="s">
        <v>40</v>
      </c>
      <c r="B42" s="17">
        <f t="shared" si="3"/>
        <v>83</v>
      </c>
      <c r="C42" s="17">
        <f t="shared" si="4"/>
        <v>189</v>
      </c>
      <c r="D42" s="16">
        <v>27</v>
      </c>
      <c r="E42" s="16">
        <v>31</v>
      </c>
      <c r="F42" s="16">
        <v>14</v>
      </c>
      <c r="G42" s="16">
        <v>11</v>
      </c>
      <c r="H42" s="16">
        <v>0</v>
      </c>
      <c r="I42" s="16">
        <v>0</v>
      </c>
      <c r="J42" s="16">
        <v>45</v>
      </c>
      <c r="K42" s="16">
        <v>83</v>
      </c>
      <c r="L42" s="16">
        <v>41</v>
      </c>
      <c r="M42" s="16">
        <v>20</v>
      </c>
      <c r="N42" s="16">
        <v>0</v>
      </c>
      <c r="O42" s="16">
        <v>0</v>
      </c>
    </row>
    <row r="43" spans="1:22" x14ac:dyDescent="0.35">
      <c r="A43" s="16" t="s">
        <v>41</v>
      </c>
      <c r="B43" s="17">
        <f t="shared" si="3"/>
        <v>15</v>
      </c>
      <c r="C43" s="17">
        <f t="shared" si="4"/>
        <v>15</v>
      </c>
      <c r="D43" s="16">
        <v>2</v>
      </c>
      <c r="E43" s="16">
        <v>9</v>
      </c>
      <c r="F43" s="16">
        <v>2</v>
      </c>
      <c r="G43" s="16">
        <v>2</v>
      </c>
      <c r="H43" s="16">
        <v>0</v>
      </c>
      <c r="I43" s="16">
        <v>0</v>
      </c>
      <c r="J43" s="16">
        <v>2</v>
      </c>
      <c r="K43" s="16">
        <v>9</v>
      </c>
      <c r="L43" s="16">
        <v>2</v>
      </c>
      <c r="M43" s="16">
        <v>2</v>
      </c>
      <c r="N43" s="16">
        <v>0</v>
      </c>
      <c r="O43" s="16">
        <v>0</v>
      </c>
    </row>
    <row r="44" spans="1:22" x14ac:dyDescent="0.35">
      <c r="A44" s="16" t="s">
        <v>42</v>
      </c>
      <c r="B44" s="17">
        <f t="shared" si="3"/>
        <v>28</v>
      </c>
      <c r="C44" s="17">
        <f t="shared" si="4"/>
        <v>44</v>
      </c>
      <c r="D44" s="16">
        <v>15</v>
      </c>
      <c r="E44" s="16">
        <v>9</v>
      </c>
      <c r="F44" s="16">
        <v>1</v>
      </c>
      <c r="G44" s="16">
        <v>3</v>
      </c>
      <c r="H44" s="16">
        <v>0</v>
      </c>
      <c r="I44" s="16">
        <v>0</v>
      </c>
      <c r="J44" s="16">
        <v>26</v>
      </c>
      <c r="K44" s="16">
        <v>13</v>
      </c>
      <c r="L44" s="16">
        <v>2</v>
      </c>
      <c r="M44" s="16">
        <v>3</v>
      </c>
      <c r="N44" s="16">
        <v>0</v>
      </c>
      <c r="O44" s="16">
        <v>0</v>
      </c>
    </row>
    <row r="45" spans="1:22" x14ac:dyDescent="0.35">
      <c r="A45" s="18">
        <v>3753</v>
      </c>
      <c r="B45" s="19">
        <f t="shared" si="3"/>
        <v>647</v>
      </c>
      <c r="C45" s="19">
        <f t="shared" si="4"/>
        <v>1165</v>
      </c>
      <c r="D45" s="19">
        <f t="shared" ref="D45:O45" si="5">SUM(D46:D49)</f>
        <v>377</v>
      </c>
      <c r="E45" s="19">
        <f t="shared" si="5"/>
        <v>156</v>
      </c>
      <c r="F45" s="19">
        <f t="shared" si="5"/>
        <v>32</v>
      </c>
      <c r="G45" s="19">
        <f t="shared" si="5"/>
        <v>82</v>
      </c>
      <c r="H45" s="19">
        <f t="shared" si="5"/>
        <v>0</v>
      </c>
      <c r="I45" s="19">
        <f t="shared" si="5"/>
        <v>0</v>
      </c>
      <c r="J45" s="19">
        <f t="shared" si="5"/>
        <v>634</v>
      </c>
      <c r="K45" s="19">
        <f t="shared" si="5"/>
        <v>313</v>
      </c>
      <c r="L45" s="19">
        <f t="shared" si="5"/>
        <v>61</v>
      </c>
      <c r="M45" s="19">
        <f t="shared" si="5"/>
        <v>157</v>
      </c>
      <c r="N45" s="19">
        <f t="shared" si="5"/>
        <v>0</v>
      </c>
      <c r="O45" s="19">
        <f t="shared" si="5"/>
        <v>0</v>
      </c>
    </row>
    <row r="46" spans="1:22" x14ac:dyDescent="0.35">
      <c r="A46" s="16" t="s">
        <v>43</v>
      </c>
      <c r="B46" s="20">
        <f t="shared" si="3"/>
        <v>74</v>
      </c>
      <c r="C46" s="20">
        <f t="shared" si="4"/>
        <v>144</v>
      </c>
      <c r="D46" s="16">
        <v>41</v>
      </c>
      <c r="E46" s="16">
        <v>21</v>
      </c>
      <c r="F46" s="16">
        <v>4</v>
      </c>
      <c r="G46" s="16">
        <v>8</v>
      </c>
      <c r="H46" s="16">
        <v>0</v>
      </c>
      <c r="I46" s="16">
        <v>0</v>
      </c>
      <c r="J46" s="16">
        <v>69</v>
      </c>
      <c r="K46" s="16">
        <v>40</v>
      </c>
      <c r="L46" s="16">
        <v>10</v>
      </c>
      <c r="M46" s="16">
        <v>25</v>
      </c>
      <c r="N46" s="16">
        <v>0</v>
      </c>
      <c r="O46" s="16">
        <v>0</v>
      </c>
      <c r="P46" s="15"/>
      <c r="Q46" s="15"/>
      <c r="R46" s="15"/>
      <c r="S46" s="15"/>
      <c r="T46" s="15"/>
      <c r="U46" s="15"/>
      <c r="V46" s="15"/>
    </row>
    <row r="47" spans="1:22" x14ac:dyDescent="0.35">
      <c r="A47" s="16" t="s">
        <v>44</v>
      </c>
      <c r="B47" s="20">
        <f t="shared" si="3"/>
        <v>69</v>
      </c>
      <c r="C47" s="20">
        <f t="shared" si="4"/>
        <v>117</v>
      </c>
      <c r="D47" s="16">
        <v>39</v>
      </c>
      <c r="E47" s="16">
        <v>21</v>
      </c>
      <c r="F47" s="16">
        <v>6</v>
      </c>
      <c r="G47" s="16">
        <v>3</v>
      </c>
      <c r="H47" s="16">
        <v>0</v>
      </c>
      <c r="I47" s="16">
        <v>0</v>
      </c>
      <c r="J47" s="16">
        <v>56</v>
      </c>
      <c r="K47" s="16">
        <v>46</v>
      </c>
      <c r="L47" s="16">
        <v>10</v>
      </c>
      <c r="M47" s="16">
        <v>5</v>
      </c>
      <c r="N47" s="16">
        <v>0</v>
      </c>
      <c r="O47" s="16">
        <v>0</v>
      </c>
    </row>
    <row r="48" spans="1:22" x14ac:dyDescent="0.35">
      <c r="A48" s="16" t="s">
        <v>45</v>
      </c>
      <c r="B48" s="20">
        <f t="shared" si="3"/>
        <v>142</v>
      </c>
      <c r="C48" s="20">
        <f t="shared" si="4"/>
        <v>265</v>
      </c>
      <c r="D48" s="16">
        <v>87</v>
      </c>
      <c r="E48" s="16">
        <v>40</v>
      </c>
      <c r="F48" s="16">
        <v>4</v>
      </c>
      <c r="G48" s="16">
        <v>11</v>
      </c>
      <c r="H48" s="16">
        <v>0</v>
      </c>
      <c r="I48" s="16">
        <v>0</v>
      </c>
      <c r="J48" s="16">
        <v>143</v>
      </c>
      <c r="K48" s="16">
        <v>83</v>
      </c>
      <c r="L48" s="16">
        <v>8</v>
      </c>
      <c r="M48" s="16">
        <v>31</v>
      </c>
      <c r="N48" s="16">
        <v>0</v>
      </c>
      <c r="O48" s="16">
        <v>0</v>
      </c>
    </row>
    <row r="49" spans="1:22" x14ac:dyDescent="0.35">
      <c r="A49" s="16" t="s">
        <v>46</v>
      </c>
      <c r="B49" s="20">
        <f t="shared" si="3"/>
        <v>362</v>
      </c>
      <c r="C49" s="20">
        <f t="shared" si="4"/>
        <v>639</v>
      </c>
      <c r="D49" s="16">
        <v>210</v>
      </c>
      <c r="E49" s="16">
        <v>74</v>
      </c>
      <c r="F49" s="16">
        <v>18</v>
      </c>
      <c r="G49" s="16">
        <v>60</v>
      </c>
      <c r="H49" s="16">
        <v>0</v>
      </c>
      <c r="I49" s="16">
        <v>0</v>
      </c>
      <c r="J49" s="16">
        <v>366</v>
      </c>
      <c r="K49" s="16">
        <v>144</v>
      </c>
      <c r="L49" s="16">
        <v>33</v>
      </c>
      <c r="M49" s="16">
        <v>96</v>
      </c>
      <c r="N49" s="16">
        <v>0</v>
      </c>
      <c r="O49" s="16">
        <v>0</v>
      </c>
    </row>
    <row r="50" spans="1:22" x14ac:dyDescent="0.35">
      <c r="A50" s="18">
        <v>3754</v>
      </c>
      <c r="B50" s="19">
        <f t="shared" si="3"/>
        <v>217</v>
      </c>
      <c r="C50" s="19">
        <f t="shared" si="4"/>
        <v>405</v>
      </c>
      <c r="D50" s="19">
        <f t="shared" ref="D50:O50" si="6">SUM(D51:D53)</f>
        <v>128</v>
      </c>
      <c r="E50" s="19">
        <f t="shared" si="6"/>
        <v>40</v>
      </c>
      <c r="F50" s="19">
        <f t="shared" si="6"/>
        <v>13</v>
      </c>
      <c r="G50" s="19">
        <f t="shared" si="6"/>
        <v>36</v>
      </c>
      <c r="H50" s="19">
        <f t="shared" si="6"/>
        <v>0</v>
      </c>
      <c r="I50" s="19">
        <f t="shared" si="6"/>
        <v>0</v>
      </c>
      <c r="J50" s="19">
        <f t="shared" si="6"/>
        <v>227</v>
      </c>
      <c r="K50" s="19">
        <f t="shared" si="6"/>
        <v>92</v>
      </c>
      <c r="L50" s="19">
        <f t="shared" si="6"/>
        <v>28</v>
      </c>
      <c r="M50" s="19">
        <f t="shared" si="6"/>
        <v>58</v>
      </c>
      <c r="N50" s="19">
        <f t="shared" si="6"/>
        <v>0</v>
      </c>
      <c r="O50" s="19">
        <f t="shared" si="6"/>
        <v>0</v>
      </c>
    </row>
    <row r="51" spans="1:22" x14ac:dyDescent="0.35">
      <c r="A51" s="16" t="s">
        <v>47</v>
      </c>
      <c r="B51" s="20">
        <f t="shared" si="3"/>
        <v>31</v>
      </c>
      <c r="C51" s="20">
        <f t="shared" si="4"/>
        <v>47</v>
      </c>
      <c r="D51" s="16">
        <v>14</v>
      </c>
      <c r="E51" s="16">
        <v>8</v>
      </c>
      <c r="F51" s="16">
        <v>4</v>
      </c>
      <c r="G51" s="16">
        <v>5</v>
      </c>
      <c r="H51" s="16">
        <v>0</v>
      </c>
      <c r="I51" s="16">
        <v>0</v>
      </c>
      <c r="J51" s="16">
        <v>21</v>
      </c>
      <c r="K51" s="16">
        <v>13</v>
      </c>
      <c r="L51" s="16">
        <v>7</v>
      </c>
      <c r="M51" s="16">
        <v>6</v>
      </c>
      <c r="N51" s="16">
        <v>0</v>
      </c>
      <c r="O51" s="16">
        <v>0</v>
      </c>
      <c r="P51" s="15"/>
      <c r="Q51" s="15"/>
      <c r="R51" s="15"/>
      <c r="S51" s="15"/>
      <c r="T51" s="15"/>
      <c r="U51" s="15"/>
      <c r="V51" s="15"/>
    </row>
    <row r="52" spans="1:22" x14ac:dyDescent="0.35">
      <c r="A52" s="16" t="s">
        <v>48</v>
      </c>
      <c r="B52" s="20">
        <f t="shared" si="3"/>
        <v>143</v>
      </c>
      <c r="C52" s="20">
        <f t="shared" si="4"/>
        <v>273</v>
      </c>
      <c r="D52" s="16">
        <v>87</v>
      </c>
      <c r="E52" s="16">
        <v>23</v>
      </c>
      <c r="F52" s="16">
        <v>5</v>
      </c>
      <c r="G52" s="16">
        <v>28</v>
      </c>
      <c r="H52" s="16">
        <v>0</v>
      </c>
      <c r="I52" s="16">
        <v>0</v>
      </c>
      <c r="J52" s="16">
        <v>161</v>
      </c>
      <c r="K52" s="16">
        <v>56</v>
      </c>
      <c r="L52" s="16">
        <v>9</v>
      </c>
      <c r="M52" s="16">
        <v>47</v>
      </c>
      <c r="N52" s="16">
        <v>0</v>
      </c>
      <c r="O52" s="16">
        <v>0</v>
      </c>
    </row>
    <row r="53" spans="1:22" x14ac:dyDescent="0.35">
      <c r="A53" s="16" t="s">
        <v>49</v>
      </c>
      <c r="B53" s="20">
        <f t="shared" si="3"/>
        <v>43</v>
      </c>
      <c r="C53" s="20">
        <f t="shared" si="4"/>
        <v>85</v>
      </c>
      <c r="D53" s="16">
        <v>27</v>
      </c>
      <c r="E53" s="16">
        <v>9</v>
      </c>
      <c r="F53" s="16">
        <v>4</v>
      </c>
      <c r="G53" s="16">
        <v>3</v>
      </c>
      <c r="H53" s="16">
        <v>0</v>
      </c>
      <c r="I53" s="16">
        <v>0</v>
      </c>
      <c r="J53" s="16">
        <v>45</v>
      </c>
      <c r="K53" s="16">
        <v>23</v>
      </c>
      <c r="L53" s="16">
        <v>12</v>
      </c>
      <c r="M53" s="16">
        <v>5</v>
      </c>
      <c r="N53" s="16">
        <v>0</v>
      </c>
      <c r="O53" s="16">
        <v>0</v>
      </c>
    </row>
    <row r="54" spans="1:22" x14ac:dyDescent="0.35">
      <c r="A54" s="18">
        <v>3755</v>
      </c>
      <c r="B54" s="19">
        <f>D54+E54+F54+G54+H54+I54</f>
        <v>126</v>
      </c>
      <c r="C54" s="19">
        <f>J54+K54+L54+M54+N54+O54</f>
        <v>243</v>
      </c>
      <c r="D54" s="32">
        <f t="shared" ref="D54:O54" si="7">SUM(D55:D56)</f>
        <v>63</v>
      </c>
      <c r="E54" s="32">
        <f t="shared" si="7"/>
        <v>21</v>
      </c>
      <c r="F54" s="32">
        <f t="shared" si="7"/>
        <v>14</v>
      </c>
      <c r="G54" s="32">
        <f t="shared" si="7"/>
        <v>28</v>
      </c>
      <c r="H54" s="32">
        <f t="shared" si="7"/>
        <v>0</v>
      </c>
      <c r="I54" s="32">
        <f t="shared" si="7"/>
        <v>0</v>
      </c>
      <c r="J54" s="32">
        <f t="shared" si="7"/>
        <v>133</v>
      </c>
      <c r="K54" s="32">
        <f t="shared" si="7"/>
        <v>33</v>
      </c>
      <c r="L54" s="32">
        <f t="shared" si="7"/>
        <v>41</v>
      </c>
      <c r="M54" s="32">
        <f t="shared" si="7"/>
        <v>36</v>
      </c>
      <c r="N54" s="32">
        <f t="shared" si="7"/>
        <v>0</v>
      </c>
      <c r="O54" s="32">
        <f t="shared" si="7"/>
        <v>0</v>
      </c>
    </row>
    <row r="55" spans="1:22" x14ac:dyDescent="0.35">
      <c r="A55" s="16" t="s">
        <v>86</v>
      </c>
      <c r="B55" s="20">
        <f>D55+E55+F55+G55+H55+I55</f>
        <v>41</v>
      </c>
      <c r="C55" s="20">
        <f>J55+K55+L55+M55+N55+O55</f>
        <v>68</v>
      </c>
      <c r="D55" s="16">
        <v>13</v>
      </c>
      <c r="E55" s="16">
        <v>8</v>
      </c>
      <c r="F55" s="16">
        <v>5</v>
      </c>
      <c r="G55" s="16">
        <v>15</v>
      </c>
      <c r="H55" s="16">
        <v>0</v>
      </c>
      <c r="I55" s="16">
        <v>0</v>
      </c>
      <c r="J55" s="16">
        <v>22</v>
      </c>
      <c r="K55" s="16">
        <v>11</v>
      </c>
      <c r="L55" s="16">
        <v>14</v>
      </c>
      <c r="M55" s="16">
        <v>21</v>
      </c>
      <c r="N55" s="16">
        <v>0</v>
      </c>
      <c r="O55" s="16">
        <v>0</v>
      </c>
    </row>
    <row r="56" spans="1:22" x14ac:dyDescent="0.35">
      <c r="A56" s="16" t="s">
        <v>87</v>
      </c>
      <c r="B56" s="20">
        <f>D56+E56+F56+G56+H56+I56</f>
        <v>85</v>
      </c>
      <c r="C56" s="20">
        <f>J56+K56+L56+M56+N56+O56</f>
        <v>175</v>
      </c>
      <c r="D56" s="16">
        <v>50</v>
      </c>
      <c r="E56" s="16">
        <v>13</v>
      </c>
      <c r="F56" s="16">
        <v>9</v>
      </c>
      <c r="G56" s="16">
        <v>13</v>
      </c>
      <c r="H56" s="16">
        <v>0</v>
      </c>
      <c r="I56" s="16">
        <v>0</v>
      </c>
      <c r="J56" s="16">
        <v>111</v>
      </c>
      <c r="K56" s="16">
        <v>22</v>
      </c>
      <c r="L56" s="16">
        <v>27</v>
      </c>
      <c r="M56" s="16">
        <v>15</v>
      </c>
      <c r="N56" s="16">
        <v>0</v>
      </c>
      <c r="O56" s="16">
        <v>0</v>
      </c>
    </row>
    <row r="57" spans="1:22" x14ac:dyDescent="0.35">
      <c r="A57" s="23" t="s">
        <v>50</v>
      </c>
      <c r="B57" s="23">
        <f t="shared" ref="B57:O57" si="8">B4+B45+B50+B54</f>
        <v>5632</v>
      </c>
      <c r="C57" s="23">
        <f t="shared" si="8"/>
        <v>11694</v>
      </c>
      <c r="D57" s="23">
        <f t="shared" si="8"/>
        <v>3178</v>
      </c>
      <c r="E57" s="23">
        <f t="shared" si="8"/>
        <v>1374</v>
      </c>
      <c r="F57" s="23">
        <f t="shared" si="8"/>
        <v>318</v>
      </c>
      <c r="G57" s="23">
        <f t="shared" si="8"/>
        <v>723</v>
      </c>
      <c r="H57" s="23">
        <f t="shared" si="8"/>
        <v>39</v>
      </c>
      <c r="I57" s="23">
        <f t="shared" si="8"/>
        <v>0</v>
      </c>
      <c r="J57" s="23">
        <f t="shared" si="8"/>
        <v>6548</v>
      </c>
      <c r="K57" s="23">
        <f t="shared" si="8"/>
        <v>3025</v>
      </c>
      <c r="L57" s="23">
        <f t="shared" si="8"/>
        <v>703</v>
      </c>
      <c r="M57" s="23">
        <f t="shared" si="8"/>
        <v>1379</v>
      </c>
      <c r="N57" s="23">
        <f t="shared" si="8"/>
        <v>39</v>
      </c>
      <c r="O57" s="23">
        <f t="shared" si="8"/>
        <v>0</v>
      </c>
    </row>
    <row r="59" spans="1:22" ht="20" x14ac:dyDescent="0.35">
      <c r="A59" s="3" t="s">
        <v>51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22" x14ac:dyDescent="0.35">
      <c r="A60" s="2" t="s">
        <v>52</v>
      </c>
      <c r="B60" s="1" t="s">
        <v>8</v>
      </c>
      <c r="C60" s="1"/>
      <c r="D60" s="1" t="s">
        <v>9</v>
      </c>
      <c r="E60" s="1"/>
      <c r="F60" s="1" t="s">
        <v>10</v>
      </c>
      <c r="G60" s="1"/>
      <c r="H60" s="1" t="s">
        <v>11</v>
      </c>
      <c r="I60" s="1"/>
      <c r="J60" s="1" t="s">
        <v>68</v>
      </c>
      <c r="K60" s="1"/>
      <c r="L60" s="1" t="s">
        <v>53</v>
      </c>
      <c r="M60" s="1" t="s">
        <v>54</v>
      </c>
    </row>
    <row r="61" spans="1:22" x14ac:dyDescent="0.35">
      <c r="A61" s="2"/>
      <c r="B61" s="25" t="s">
        <v>55</v>
      </c>
      <c r="C61" s="25" t="s">
        <v>7</v>
      </c>
      <c r="D61" s="25" t="s">
        <v>55</v>
      </c>
      <c r="E61" s="25" t="s">
        <v>7</v>
      </c>
      <c r="F61" s="25" t="s">
        <v>55</v>
      </c>
      <c r="G61" s="25" t="s">
        <v>7</v>
      </c>
      <c r="H61" s="25" t="s">
        <v>55</v>
      </c>
      <c r="I61" s="25" t="s">
        <v>7</v>
      </c>
      <c r="J61" s="25" t="s">
        <v>55</v>
      </c>
      <c r="K61" s="25" t="s">
        <v>7</v>
      </c>
      <c r="L61" s="1" t="s">
        <v>53</v>
      </c>
      <c r="M61" s="1" t="s">
        <v>56</v>
      </c>
    </row>
    <row r="62" spans="1:22" x14ac:dyDescent="0.35">
      <c r="A62" s="26" t="s">
        <v>80</v>
      </c>
      <c r="B62" s="26">
        <v>0</v>
      </c>
      <c r="C62" s="26">
        <v>0</v>
      </c>
      <c r="D62" s="26">
        <v>0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>
        <v>1</v>
      </c>
      <c r="K62" s="26">
        <v>1</v>
      </c>
      <c r="L62" s="33">
        <f t="shared" ref="L62:M65" si="9">B62+D62+F62+H62+J62</f>
        <v>1</v>
      </c>
      <c r="M62" s="33">
        <f t="shared" si="9"/>
        <v>1</v>
      </c>
    </row>
    <row r="63" spans="1:22" x14ac:dyDescent="0.35">
      <c r="A63" s="26" t="s">
        <v>57</v>
      </c>
      <c r="B63" s="26">
        <v>2638</v>
      </c>
      <c r="C63" s="26">
        <v>6115</v>
      </c>
      <c r="D63" s="26">
        <v>1092</v>
      </c>
      <c r="E63" s="26">
        <v>2858</v>
      </c>
      <c r="F63" s="26">
        <v>254</v>
      </c>
      <c r="G63" s="26">
        <v>652</v>
      </c>
      <c r="H63" s="26">
        <v>577</v>
      </c>
      <c r="I63" s="26">
        <v>1252</v>
      </c>
      <c r="J63" s="26">
        <v>0</v>
      </c>
      <c r="K63" s="26">
        <v>0</v>
      </c>
      <c r="L63" s="33">
        <f t="shared" si="9"/>
        <v>4561</v>
      </c>
      <c r="M63" s="33">
        <f t="shared" si="9"/>
        <v>10877</v>
      </c>
    </row>
    <row r="64" spans="1:22" x14ac:dyDescent="0.35">
      <c r="A64" s="26" t="s">
        <v>69</v>
      </c>
      <c r="B64" s="26">
        <v>14</v>
      </c>
      <c r="C64" s="26">
        <v>14</v>
      </c>
      <c r="D64" s="26">
        <v>9</v>
      </c>
      <c r="E64" s="26">
        <v>9</v>
      </c>
      <c r="F64" s="26">
        <v>9</v>
      </c>
      <c r="G64" s="26">
        <v>9</v>
      </c>
      <c r="H64" s="26">
        <v>33</v>
      </c>
      <c r="I64" s="26">
        <v>34</v>
      </c>
      <c r="J64" s="26">
        <v>17</v>
      </c>
      <c r="K64" s="26">
        <v>38</v>
      </c>
      <c r="L64" s="33">
        <f t="shared" si="9"/>
        <v>82</v>
      </c>
      <c r="M64" s="33">
        <f t="shared" si="9"/>
        <v>104</v>
      </c>
    </row>
    <row r="65" spans="1:13" x14ac:dyDescent="0.35">
      <c r="A65" s="26" t="s">
        <v>58</v>
      </c>
      <c r="B65" s="26">
        <v>202</v>
      </c>
      <c r="C65" s="26">
        <v>489</v>
      </c>
      <c r="D65" s="26">
        <v>64</v>
      </c>
      <c r="E65" s="26">
        <v>140</v>
      </c>
      <c r="F65" s="26">
        <v>7</v>
      </c>
      <c r="G65" s="26">
        <v>16</v>
      </c>
      <c r="H65" s="26">
        <v>22</v>
      </c>
      <c r="I65" s="26">
        <v>67</v>
      </c>
      <c r="J65" s="26">
        <v>0</v>
      </c>
      <c r="K65" s="26">
        <v>0</v>
      </c>
      <c r="L65" s="33">
        <f t="shared" si="9"/>
        <v>295</v>
      </c>
      <c r="M65" s="33">
        <f t="shared" si="9"/>
        <v>712</v>
      </c>
    </row>
    <row r="66" spans="1:13" x14ac:dyDescent="0.35">
      <c r="A66" s="27" t="s">
        <v>59</v>
      </c>
      <c r="B66" s="28">
        <f t="shared" ref="B66:M66" si="10">SUM(B62:B65)</f>
        <v>2854</v>
      </c>
      <c r="C66" s="28">
        <f t="shared" si="10"/>
        <v>6618</v>
      </c>
      <c r="D66" s="28">
        <f t="shared" si="10"/>
        <v>1165</v>
      </c>
      <c r="E66" s="28">
        <f t="shared" si="10"/>
        <v>3007</v>
      </c>
      <c r="F66" s="28">
        <f t="shared" si="10"/>
        <v>270</v>
      </c>
      <c r="G66" s="28">
        <f t="shared" si="10"/>
        <v>677</v>
      </c>
      <c r="H66" s="28">
        <f t="shared" si="10"/>
        <v>632</v>
      </c>
      <c r="I66" s="28">
        <f t="shared" si="10"/>
        <v>1353</v>
      </c>
      <c r="J66" s="28">
        <f t="shared" si="10"/>
        <v>18</v>
      </c>
      <c r="K66" s="28">
        <f t="shared" si="10"/>
        <v>39</v>
      </c>
      <c r="L66" s="28">
        <f t="shared" si="10"/>
        <v>4939</v>
      </c>
      <c r="M66" s="28">
        <f t="shared" si="10"/>
        <v>11694</v>
      </c>
    </row>
  </sheetData>
  <mergeCells count="13">
    <mergeCell ref="J60:K60"/>
    <mergeCell ref="L60:L61"/>
    <mergeCell ref="M60:M61"/>
    <mergeCell ref="A60:A61"/>
    <mergeCell ref="B60:C60"/>
    <mergeCell ref="D60:E60"/>
    <mergeCell ref="F60:G60"/>
    <mergeCell ref="H60:I60"/>
    <mergeCell ref="A1:N1"/>
    <mergeCell ref="B2:C2"/>
    <mergeCell ref="D2:I2"/>
    <mergeCell ref="J2:N2"/>
    <mergeCell ref="A59:M59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3"/>
  <sheetViews>
    <sheetView zoomScale="80" zoomScaleNormal="80" workbookViewId="0">
      <pane ySplit="3" topLeftCell="A43" activePane="bottomLeft" state="frozen"/>
      <selection pane="bottomLeft" activeCell="J66" sqref="J66"/>
    </sheetView>
  </sheetViews>
  <sheetFormatPr baseColWidth="10" defaultColWidth="15.1796875" defaultRowHeight="14.5" x14ac:dyDescent="0.35"/>
  <cols>
    <col min="1" max="1" width="47.08984375" customWidth="1"/>
    <col min="2" max="2" width="12.81640625" customWidth="1"/>
    <col min="3" max="3" width="6.54296875" customWidth="1"/>
    <col min="4" max="4" width="12.26953125" customWidth="1"/>
    <col min="5" max="5" width="10.26953125" customWidth="1"/>
    <col min="6" max="6" width="11" customWidth="1"/>
    <col min="7" max="7" width="8.453125" customWidth="1"/>
    <col min="8" max="9" width="6.90625" customWidth="1"/>
    <col min="10" max="11" width="7.08984375" customWidth="1"/>
    <col min="12" max="12" width="11.54296875" customWidth="1"/>
    <col min="13" max="13" width="15.36328125" customWidth="1"/>
    <col min="14" max="15" width="12.453125" customWidth="1"/>
  </cols>
  <sheetData>
    <row r="1" spans="1:23" ht="26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  <c r="Q1" s="7"/>
    </row>
    <row r="2" spans="1:23" ht="29.9" customHeight="1" x14ac:dyDescent="0.35">
      <c r="A2" s="8" t="s">
        <v>1</v>
      </c>
      <c r="B2" s="5" t="s">
        <v>91</v>
      </c>
      <c r="C2" s="5"/>
      <c r="D2" s="4" t="s">
        <v>3</v>
      </c>
      <c r="E2" s="4"/>
      <c r="F2" s="4"/>
      <c r="G2" s="4"/>
      <c r="H2" s="4"/>
      <c r="I2" s="4"/>
      <c r="J2" s="4"/>
      <c r="K2" s="4" t="s">
        <v>4</v>
      </c>
      <c r="L2" s="4"/>
      <c r="M2" s="4"/>
      <c r="N2" s="4"/>
      <c r="O2" s="4"/>
      <c r="P2" s="9"/>
      <c r="Q2" s="9"/>
    </row>
    <row r="3" spans="1:23" x14ac:dyDescent="0.35">
      <c r="A3" s="10" t="s">
        <v>5</v>
      </c>
      <c r="B3" s="11" t="s">
        <v>6</v>
      </c>
      <c r="C3" s="12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13" t="s">
        <v>71</v>
      </c>
      <c r="I3" s="13" t="s">
        <v>12</v>
      </c>
      <c r="J3" s="13" t="s">
        <v>92</v>
      </c>
      <c r="K3" s="13" t="s">
        <v>8</v>
      </c>
      <c r="L3" s="13" t="s">
        <v>9</v>
      </c>
      <c r="M3" s="13" t="s">
        <v>10</v>
      </c>
      <c r="N3" s="13" t="s">
        <v>11</v>
      </c>
      <c r="O3" s="13" t="s">
        <v>71</v>
      </c>
      <c r="P3" s="13" t="s">
        <v>12</v>
      </c>
      <c r="Q3" s="13" t="s">
        <v>92</v>
      </c>
    </row>
    <row r="4" spans="1:23" x14ac:dyDescent="0.35">
      <c r="A4" s="14">
        <v>3734</v>
      </c>
      <c r="B4" s="14">
        <f t="shared" ref="B4:Q4" si="0">SUM(B5:B41)</f>
        <v>4926</v>
      </c>
      <c r="C4" s="14">
        <f t="shared" si="0"/>
        <v>10657</v>
      </c>
      <c r="D4" s="14">
        <f t="shared" si="0"/>
        <v>2798</v>
      </c>
      <c r="E4" s="14">
        <f t="shared" si="0"/>
        <v>1235</v>
      </c>
      <c r="F4" s="14">
        <f t="shared" si="0"/>
        <v>293</v>
      </c>
      <c r="G4" s="14">
        <f t="shared" si="0"/>
        <v>590</v>
      </c>
      <c r="H4" s="14">
        <f t="shared" si="0"/>
        <v>3</v>
      </c>
      <c r="I4" s="14">
        <f t="shared" si="0"/>
        <v>6</v>
      </c>
      <c r="J4" s="14">
        <f t="shared" si="0"/>
        <v>1</v>
      </c>
      <c r="K4" s="14">
        <f t="shared" si="0"/>
        <v>6162</v>
      </c>
      <c r="L4" s="14">
        <f t="shared" si="0"/>
        <v>2744</v>
      </c>
      <c r="M4" s="14">
        <f t="shared" si="0"/>
        <v>618</v>
      </c>
      <c r="N4" s="14">
        <f t="shared" si="0"/>
        <v>1121</v>
      </c>
      <c r="O4" s="14">
        <f t="shared" si="0"/>
        <v>3</v>
      </c>
      <c r="P4" s="14">
        <f t="shared" si="0"/>
        <v>8</v>
      </c>
      <c r="Q4" s="14">
        <f t="shared" si="0"/>
        <v>1</v>
      </c>
      <c r="R4" s="15"/>
      <c r="S4" s="15"/>
      <c r="T4" s="15"/>
      <c r="U4" s="15"/>
      <c r="V4" s="15"/>
      <c r="W4" s="15"/>
    </row>
    <row r="5" spans="1:23" x14ac:dyDescent="0.35">
      <c r="A5" s="16" t="s">
        <v>13</v>
      </c>
      <c r="B5" s="17">
        <f t="shared" ref="B5:B41" si="1">SUM(D5:J5)</f>
        <v>13</v>
      </c>
      <c r="C5" s="17">
        <f t="shared" ref="C5:C41" si="2">SUM(K5:Q5)</f>
        <v>36</v>
      </c>
      <c r="D5" s="16">
        <v>5</v>
      </c>
      <c r="E5" s="16">
        <v>4</v>
      </c>
      <c r="F5" s="16">
        <v>2</v>
      </c>
      <c r="G5" s="16">
        <v>2</v>
      </c>
      <c r="H5" s="16">
        <v>0</v>
      </c>
      <c r="I5" s="16">
        <v>0</v>
      </c>
      <c r="J5" s="16">
        <v>0</v>
      </c>
      <c r="K5" s="16">
        <v>18</v>
      </c>
      <c r="L5" s="16">
        <v>10</v>
      </c>
      <c r="M5" s="16">
        <v>6</v>
      </c>
      <c r="N5" s="16">
        <v>2</v>
      </c>
      <c r="O5" s="16">
        <v>0</v>
      </c>
      <c r="P5" s="16">
        <v>0</v>
      </c>
      <c r="Q5" s="16">
        <v>0</v>
      </c>
    </row>
    <row r="6" spans="1:23" x14ac:dyDescent="0.35">
      <c r="A6" s="16" t="s">
        <v>72</v>
      </c>
      <c r="B6" s="17">
        <f t="shared" si="1"/>
        <v>111</v>
      </c>
      <c r="C6" s="17">
        <f t="shared" si="2"/>
        <v>111</v>
      </c>
      <c r="D6" s="16">
        <v>57</v>
      </c>
      <c r="E6" s="16">
        <v>25</v>
      </c>
      <c r="F6" s="16">
        <v>13</v>
      </c>
      <c r="G6" s="16">
        <v>12</v>
      </c>
      <c r="H6" s="16">
        <v>3</v>
      </c>
      <c r="I6" s="16">
        <v>0</v>
      </c>
      <c r="J6" s="16">
        <v>1</v>
      </c>
      <c r="K6" s="16">
        <v>57</v>
      </c>
      <c r="L6" s="16">
        <v>25</v>
      </c>
      <c r="M6" s="16">
        <v>13</v>
      </c>
      <c r="N6" s="16">
        <v>12</v>
      </c>
      <c r="O6" s="16">
        <v>3</v>
      </c>
      <c r="P6" s="16">
        <v>0</v>
      </c>
      <c r="Q6" s="16">
        <v>1</v>
      </c>
    </row>
    <row r="7" spans="1:23" x14ac:dyDescent="0.35">
      <c r="A7" s="16" t="s">
        <v>14</v>
      </c>
      <c r="B7" s="17">
        <f t="shared" si="1"/>
        <v>153</v>
      </c>
      <c r="C7" s="17">
        <f t="shared" si="2"/>
        <v>224</v>
      </c>
      <c r="D7" s="16">
        <v>70</v>
      </c>
      <c r="E7" s="16">
        <v>48</v>
      </c>
      <c r="F7" s="16">
        <v>12</v>
      </c>
      <c r="G7" s="16">
        <v>23</v>
      </c>
      <c r="H7" s="16">
        <v>0</v>
      </c>
      <c r="I7" s="16">
        <v>0</v>
      </c>
      <c r="J7" s="16">
        <v>0</v>
      </c>
      <c r="K7" s="16">
        <v>112</v>
      </c>
      <c r="L7" s="16">
        <v>67</v>
      </c>
      <c r="M7" s="16">
        <v>16</v>
      </c>
      <c r="N7" s="16">
        <v>29</v>
      </c>
      <c r="O7" s="16">
        <v>0</v>
      </c>
      <c r="P7" s="16">
        <v>0</v>
      </c>
      <c r="Q7" s="16">
        <v>0</v>
      </c>
    </row>
    <row r="8" spans="1:23" x14ac:dyDescent="0.35">
      <c r="A8" s="16" t="s">
        <v>15</v>
      </c>
      <c r="B8" s="17">
        <f t="shared" si="1"/>
        <v>33</v>
      </c>
      <c r="C8" s="17">
        <f t="shared" si="2"/>
        <v>80</v>
      </c>
      <c r="D8" s="16">
        <v>16</v>
      </c>
      <c r="E8" s="16">
        <v>14</v>
      </c>
      <c r="F8" s="16">
        <v>0</v>
      </c>
      <c r="G8" s="16">
        <v>3</v>
      </c>
      <c r="H8" s="16">
        <v>0</v>
      </c>
      <c r="I8" s="16">
        <v>0</v>
      </c>
      <c r="J8" s="16">
        <v>0</v>
      </c>
      <c r="K8" s="16">
        <v>36</v>
      </c>
      <c r="L8" s="16">
        <v>35</v>
      </c>
      <c r="M8" s="16">
        <v>0</v>
      </c>
      <c r="N8" s="16">
        <v>9</v>
      </c>
      <c r="O8" s="16">
        <v>0</v>
      </c>
      <c r="P8" s="16">
        <v>0</v>
      </c>
      <c r="Q8" s="16">
        <v>0</v>
      </c>
    </row>
    <row r="9" spans="1:23" x14ac:dyDescent="0.35">
      <c r="A9" s="16" t="s">
        <v>16</v>
      </c>
      <c r="B9" s="17">
        <f t="shared" si="1"/>
        <v>128</v>
      </c>
      <c r="C9" s="17">
        <f t="shared" si="2"/>
        <v>342</v>
      </c>
      <c r="D9" s="16">
        <v>74</v>
      </c>
      <c r="E9" s="16">
        <v>27</v>
      </c>
      <c r="F9" s="16">
        <v>11</v>
      </c>
      <c r="G9" s="16">
        <v>16</v>
      </c>
      <c r="H9" s="16">
        <v>0</v>
      </c>
      <c r="I9" s="16">
        <v>0</v>
      </c>
      <c r="J9" s="16">
        <v>0</v>
      </c>
      <c r="K9" s="16">
        <v>203</v>
      </c>
      <c r="L9" s="16">
        <v>77</v>
      </c>
      <c r="M9" s="16">
        <v>29</v>
      </c>
      <c r="N9" s="16">
        <v>33</v>
      </c>
      <c r="O9" s="16">
        <v>0</v>
      </c>
      <c r="P9" s="16">
        <v>0</v>
      </c>
      <c r="Q9" s="16">
        <v>0</v>
      </c>
    </row>
    <row r="10" spans="1:23" x14ac:dyDescent="0.35">
      <c r="A10" s="16" t="s">
        <v>17</v>
      </c>
      <c r="B10" s="17">
        <f t="shared" si="1"/>
        <v>36</v>
      </c>
      <c r="C10" s="17">
        <f t="shared" si="2"/>
        <v>56</v>
      </c>
      <c r="D10" s="16">
        <v>10</v>
      </c>
      <c r="E10" s="16">
        <v>19</v>
      </c>
      <c r="F10" s="16">
        <v>4</v>
      </c>
      <c r="G10" s="16">
        <v>3</v>
      </c>
      <c r="H10" s="16">
        <v>0</v>
      </c>
      <c r="I10" s="16">
        <v>0</v>
      </c>
      <c r="J10" s="16">
        <v>0</v>
      </c>
      <c r="K10" s="16">
        <v>18</v>
      </c>
      <c r="L10" s="16">
        <v>30</v>
      </c>
      <c r="M10" s="16">
        <v>5</v>
      </c>
      <c r="N10" s="16">
        <v>3</v>
      </c>
      <c r="O10" s="16">
        <v>0</v>
      </c>
      <c r="P10" s="16">
        <v>0</v>
      </c>
      <c r="Q10" s="16">
        <v>0</v>
      </c>
    </row>
    <row r="11" spans="1:23" x14ac:dyDescent="0.35">
      <c r="A11" s="16" t="s">
        <v>18</v>
      </c>
      <c r="B11" s="17">
        <f t="shared" si="1"/>
        <v>778</v>
      </c>
      <c r="C11" s="17">
        <f t="shared" si="2"/>
        <v>1861</v>
      </c>
      <c r="D11" s="16">
        <v>454</v>
      </c>
      <c r="E11" s="16">
        <v>182</v>
      </c>
      <c r="F11" s="16">
        <v>41</v>
      </c>
      <c r="G11" s="16">
        <v>101</v>
      </c>
      <c r="H11" s="16">
        <v>0</v>
      </c>
      <c r="I11" s="16">
        <v>0</v>
      </c>
      <c r="J11" s="16">
        <v>0</v>
      </c>
      <c r="K11" s="16">
        <v>1077</v>
      </c>
      <c r="L11" s="16">
        <v>467</v>
      </c>
      <c r="M11" s="16">
        <v>91</v>
      </c>
      <c r="N11" s="16">
        <v>226</v>
      </c>
      <c r="O11" s="16">
        <v>0</v>
      </c>
      <c r="P11" s="16">
        <v>0</v>
      </c>
      <c r="Q11" s="16">
        <v>0</v>
      </c>
    </row>
    <row r="12" spans="1:23" x14ac:dyDescent="0.35">
      <c r="A12" s="16" t="s">
        <v>20</v>
      </c>
      <c r="B12" s="17">
        <f t="shared" si="1"/>
        <v>47</v>
      </c>
      <c r="C12" s="17">
        <f t="shared" si="2"/>
        <v>117</v>
      </c>
      <c r="D12" s="16">
        <v>23</v>
      </c>
      <c r="E12" s="16">
        <v>13</v>
      </c>
      <c r="F12" s="16">
        <v>1</v>
      </c>
      <c r="G12" s="16">
        <v>10</v>
      </c>
      <c r="H12" s="16">
        <v>0</v>
      </c>
      <c r="I12" s="16">
        <v>0</v>
      </c>
      <c r="J12" s="16">
        <v>0</v>
      </c>
      <c r="K12" s="16">
        <v>59</v>
      </c>
      <c r="L12" s="16">
        <v>35</v>
      </c>
      <c r="M12" s="16">
        <v>2</v>
      </c>
      <c r="N12" s="16">
        <v>21</v>
      </c>
      <c r="O12" s="16">
        <v>0</v>
      </c>
      <c r="P12" s="16">
        <v>0</v>
      </c>
      <c r="Q12" s="16">
        <v>0</v>
      </c>
    </row>
    <row r="13" spans="1:23" x14ac:dyDescent="0.35">
      <c r="A13" s="16" t="s">
        <v>21</v>
      </c>
      <c r="B13" s="17">
        <f t="shared" si="1"/>
        <v>404</v>
      </c>
      <c r="C13" s="17">
        <f t="shared" si="2"/>
        <v>1058</v>
      </c>
      <c r="D13" s="16">
        <v>243</v>
      </c>
      <c r="E13" s="16">
        <v>102</v>
      </c>
      <c r="F13" s="16">
        <v>18</v>
      </c>
      <c r="G13" s="16">
        <v>41</v>
      </c>
      <c r="H13" s="16">
        <v>0</v>
      </c>
      <c r="I13" s="16">
        <v>0</v>
      </c>
      <c r="J13" s="16">
        <v>0</v>
      </c>
      <c r="K13" s="16">
        <v>661</v>
      </c>
      <c r="L13" s="16">
        <v>261</v>
      </c>
      <c r="M13" s="16">
        <v>39</v>
      </c>
      <c r="N13" s="16">
        <v>97</v>
      </c>
      <c r="O13" s="16">
        <v>0</v>
      </c>
      <c r="P13" s="16">
        <v>0</v>
      </c>
      <c r="Q13" s="16">
        <v>0</v>
      </c>
    </row>
    <row r="14" spans="1:23" x14ac:dyDescent="0.35">
      <c r="A14" s="16" t="s">
        <v>22</v>
      </c>
      <c r="B14" s="17">
        <f t="shared" si="1"/>
        <v>170</v>
      </c>
      <c r="C14" s="17">
        <f t="shared" si="2"/>
        <v>381</v>
      </c>
      <c r="D14" s="16">
        <v>103</v>
      </c>
      <c r="E14" s="16">
        <v>39</v>
      </c>
      <c r="F14" s="16">
        <v>8</v>
      </c>
      <c r="G14" s="16">
        <v>20</v>
      </c>
      <c r="H14" s="16">
        <v>0</v>
      </c>
      <c r="I14" s="16">
        <v>0</v>
      </c>
      <c r="J14" s="16">
        <v>0</v>
      </c>
      <c r="K14" s="16">
        <v>227</v>
      </c>
      <c r="L14" s="16">
        <v>106</v>
      </c>
      <c r="M14" s="16">
        <v>15</v>
      </c>
      <c r="N14" s="16">
        <v>33</v>
      </c>
      <c r="O14" s="16">
        <v>0</v>
      </c>
      <c r="P14" s="16">
        <v>0</v>
      </c>
      <c r="Q14" s="16">
        <v>0</v>
      </c>
    </row>
    <row r="15" spans="1:23" x14ac:dyDescent="0.35">
      <c r="A15" s="16" t="s">
        <v>23</v>
      </c>
      <c r="B15" s="17">
        <f t="shared" si="1"/>
        <v>117</v>
      </c>
      <c r="C15" s="17">
        <f t="shared" si="2"/>
        <v>333</v>
      </c>
      <c r="D15" s="16">
        <v>54</v>
      </c>
      <c r="E15" s="16">
        <v>39</v>
      </c>
      <c r="F15" s="16">
        <v>15</v>
      </c>
      <c r="G15" s="16">
        <v>9</v>
      </c>
      <c r="H15" s="16">
        <v>0</v>
      </c>
      <c r="I15" s="16">
        <v>0</v>
      </c>
      <c r="J15" s="16">
        <v>0</v>
      </c>
      <c r="K15" s="16">
        <v>168</v>
      </c>
      <c r="L15" s="16">
        <v>106</v>
      </c>
      <c r="M15" s="16">
        <v>32</v>
      </c>
      <c r="N15" s="16">
        <v>27</v>
      </c>
      <c r="O15" s="16">
        <v>0</v>
      </c>
      <c r="P15" s="16">
        <v>0</v>
      </c>
      <c r="Q15" s="16">
        <v>0</v>
      </c>
    </row>
    <row r="16" spans="1:23" x14ac:dyDescent="0.35">
      <c r="A16" s="16" t="s">
        <v>24</v>
      </c>
      <c r="B16" s="17">
        <f t="shared" si="1"/>
        <v>47</v>
      </c>
      <c r="C16" s="17">
        <f t="shared" si="2"/>
        <v>159</v>
      </c>
      <c r="D16" s="16">
        <v>22</v>
      </c>
      <c r="E16" s="16">
        <v>16</v>
      </c>
      <c r="F16" s="16">
        <v>8</v>
      </c>
      <c r="G16" s="16">
        <v>1</v>
      </c>
      <c r="H16" s="16">
        <v>0</v>
      </c>
      <c r="I16" s="16">
        <v>0</v>
      </c>
      <c r="J16" s="16">
        <v>0</v>
      </c>
      <c r="K16" s="16">
        <v>62</v>
      </c>
      <c r="L16" s="16">
        <v>61</v>
      </c>
      <c r="M16" s="16">
        <v>34</v>
      </c>
      <c r="N16" s="16">
        <v>2</v>
      </c>
      <c r="O16" s="16">
        <v>0</v>
      </c>
      <c r="P16" s="16">
        <v>0</v>
      </c>
      <c r="Q16" s="16">
        <v>0</v>
      </c>
    </row>
    <row r="17" spans="1:17" x14ac:dyDescent="0.35">
      <c r="A17" s="16" t="s">
        <v>25</v>
      </c>
      <c r="B17" s="17">
        <f t="shared" si="1"/>
        <v>257</v>
      </c>
      <c r="C17" s="17">
        <f t="shared" si="2"/>
        <v>554</v>
      </c>
      <c r="D17" s="16">
        <v>158</v>
      </c>
      <c r="E17" s="16">
        <v>44</v>
      </c>
      <c r="F17" s="16">
        <v>13</v>
      </c>
      <c r="G17" s="16">
        <v>42</v>
      </c>
      <c r="H17" s="16">
        <v>0</v>
      </c>
      <c r="I17" s="16">
        <v>0</v>
      </c>
      <c r="J17" s="16">
        <v>0</v>
      </c>
      <c r="K17" s="16">
        <v>327</v>
      </c>
      <c r="L17" s="16">
        <v>120</v>
      </c>
      <c r="M17" s="16">
        <v>32</v>
      </c>
      <c r="N17" s="16">
        <v>75</v>
      </c>
      <c r="O17" s="16">
        <v>0</v>
      </c>
      <c r="P17" s="16">
        <v>0</v>
      </c>
      <c r="Q17" s="16">
        <v>0</v>
      </c>
    </row>
    <row r="18" spans="1:17" x14ac:dyDescent="0.35">
      <c r="A18" s="16" t="s">
        <v>26</v>
      </c>
      <c r="B18" s="17">
        <f t="shared" si="1"/>
        <v>1</v>
      </c>
      <c r="C18" s="17">
        <f t="shared" si="2"/>
        <v>1</v>
      </c>
      <c r="D18" s="16">
        <v>1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</row>
    <row r="19" spans="1:17" x14ac:dyDescent="0.35">
      <c r="A19" s="16" t="s">
        <v>27</v>
      </c>
      <c r="B19" s="17">
        <f t="shared" si="1"/>
        <v>82</v>
      </c>
      <c r="C19" s="17">
        <f t="shared" si="2"/>
        <v>150</v>
      </c>
      <c r="D19" s="16">
        <v>31</v>
      </c>
      <c r="E19" s="16">
        <v>29</v>
      </c>
      <c r="F19" s="16">
        <v>4</v>
      </c>
      <c r="G19" s="16">
        <v>18</v>
      </c>
      <c r="H19" s="16">
        <v>0</v>
      </c>
      <c r="I19" s="16">
        <v>0</v>
      </c>
      <c r="J19" s="16">
        <v>0</v>
      </c>
      <c r="K19" s="16">
        <v>56</v>
      </c>
      <c r="L19" s="16">
        <v>54</v>
      </c>
      <c r="M19" s="16">
        <v>7</v>
      </c>
      <c r="N19" s="16">
        <v>33</v>
      </c>
      <c r="O19" s="16">
        <v>0</v>
      </c>
      <c r="P19" s="16">
        <v>0</v>
      </c>
      <c r="Q19" s="16">
        <v>0</v>
      </c>
    </row>
    <row r="20" spans="1:17" x14ac:dyDescent="0.35">
      <c r="A20" s="16" t="s">
        <v>28</v>
      </c>
      <c r="B20" s="17">
        <f t="shared" si="1"/>
        <v>126</v>
      </c>
      <c r="C20" s="17">
        <f t="shared" si="2"/>
        <v>323</v>
      </c>
      <c r="D20" s="16">
        <v>69</v>
      </c>
      <c r="E20" s="16">
        <v>35</v>
      </c>
      <c r="F20" s="16">
        <v>7</v>
      </c>
      <c r="G20" s="16">
        <v>15</v>
      </c>
      <c r="H20" s="16">
        <v>0</v>
      </c>
      <c r="I20" s="16">
        <v>0</v>
      </c>
      <c r="J20" s="16">
        <v>0</v>
      </c>
      <c r="K20" s="16">
        <v>183</v>
      </c>
      <c r="L20" s="16">
        <v>97</v>
      </c>
      <c r="M20" s="16">
        <v>14</v>
      </c>
      <c r="N20" s="16">
        <v>29</v>
      </c>
      <c r="O20" s="16">
        <v>0</v>
      </c>
      <c r="P20" s="16">
        <v>0</v>
      </c>
      <c r="Q20" s="16">
        <v>0</v>
      </c>
    </row>
    <row r="21" spans="1:17" x14ac:dyDescent="0.35">
      <c r="A21" s="16" t="s">
        <v>29</v>
      </c>
      <c r="B21" s="17">
        <f t="shared" si="1"/>
        <v>157</v>
      </c>
      <c r="C21" s="17">
        <f t="shared" si="2"/>
        <v>265</v>
      </c>
      <c r="D21" s="16">
        <v>112</v>
      </c>
      <c r="E21" s="16">
        <v>40</v>
      </c>
      <c r="F21" s="16">
        <v>0</v>
      </c>
      <c r="G21" s="16">
        <v>5</v>
      </c>
      <c r="H21" s="16">
        <v>0</v>
      </c>
      <c r="I21" s="16">
        <v>0</v>
      </c>
      <c r="J21" s="16">
        <v>0</v>
      </c>
      <c r="K21" s="16">
        <v>179</v>
      </c>
      <c r="L21" s="16">
        <v>78</v>
      </c>
      <c r="M21" s="16">
        <v>0</v>
      </c>
      <c r="N21" s="16">
        <v>8</v>
      </c>
      <c r="O21" s="16">
        <v>0</v>
      </c>
      <c r="P21" s="16">
        <v>0</v>
      </c>
      <c r="Q21" s="16">
        <v>0</v>
      </c>
    </row>
    <row r="22" spans="1:17" x14ac:dyDescent="0.35">
      <c r="A22" s="16" t="s">
        <v>30</v>
      </c>
      <c r="B22" s="17">
        <f t="shared" si="1"/>
        <v>137</v>
      </c>
      <c r="C22" s="17">
        <f t="shared" si="2"/>
        <v>264</v>
      </c>
      <c r="D22" s="16">
        <v>97</v>
      </c>
      <c r="E22" s="16">
        <v>30</v>
      </c>
      <c r="F22" s="16">
        <v>2</v>
      </c>
      <c r="G22" s="16">
        <v>8</v>
      </c>
      <c r="H22" s="16">
        <v>0</v>
      </c>
      <c r="I22" s="16">
        <v>0</v>
      </c>
      <c r="J22" s="16">
        <v>0</v>
      </c>
      <c r="K22" s="16">
        <v>200</v>
      </c>
      <c r="L22" s="16">
        <v>50</v>
      </c>
      <c r="M22" s="16">
        <v>2</v>
      </c>
      <c r="N22" s="16">
        <v>12</v>
      </c>
      <c r="O22" s="16">
        <v>0</v>
      </c>
      <c r="P22" s="16">
        <v>0</v>
      </c>
      <c r="Q22" s="16">
        <v>0</v>
      </c>
    </row>
    <row r="23" spans="1:17" x14ac:dyDescent="0.35">
      <c r="A23" s="16" t="s">
        <v>82</v>
      </c>
      <c r="B23" s="17">
        <f t="shared" si="1"/>
        <v>69</v>
      </c>
      <c r="C23" s="17">
        <f t="shared" si="2"/>
        <v>74</v>
      </c>
      <c r="D23" s="16">
        <v>15</v>
      </c>
      <c r="E23" s="16">
        <v>14</v>
      </c>
      <c r="F23" s="16">
        <v>5</v>
      </c>
      <c r="G23" s="16">
        <v>35</v>
      </c>
      <c r="H23" s="16">
        <v>0</v>
      </c>
      <c r="I23" s="16">
        <v>0</v>
      </c>
      <c r="J23" s="16">
        <v>0</v>
      </c>
      <c r="K23" s="16">
        <v>15</v>
      </c>
      <c r="L23" s="16">
        <v>17</v>
      </c>
      <c r="M23" s="16">
        <v>5</v>
      </c>
      <c r="N23" s="16">
        <v>37</v>
      </c>
      <c r="O23" s="16">
        <v>0</v>
      </c>
      <c r="P23" s="16">
        <v>0</v>
      </c>
      <c r="Q23" s="16">
        <v>0</v>
      </c>
    </row>
    <row r="24" spans="1:17" x14ac:dyDescent="0.35">
      <c r="A24" s="16" t="s">
        <v>83</v>
      </c>
      <c r="B24" s="17">
        <f t="shared" si="1"/>
        <v>1</v>
      </c>
      <c r="C24" s="17">
        <f t="shared" si="2"/>
        <v>1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1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1</v>
      </c>
      <c r="Q24" s="16">
        <v>0</v>
      </c>
    </row>
    <row r="25" spans="1:17" x14ac:dyDescent="0.35">
      <c r="A25" s="16" t="s">
        <v>65</v>
      </c>
      <c r="B25" s="17">
        <f t="shared" si="1"/>
        <v>1</v>
      </c>
      <c r="C25" s="17">
        <f t="shared" si="2"/>
        <v>1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1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1</v>
      </c>
      <c r="Q25" s="16">
        <v>0</v>
      </c>
    </row>
    <row r="26" spans="1:17" x14ac:dyDescent="0.35">
      <c r="A26" s="16" t="s">
        <v>74</v>
      </c>
      <c r="B26" s="17">
        <f t="shared" si="1"/>
        <v>2</v>
      </c>
      <c r="C26" s="17">
        <f t="shared" si="2"/>
        <v>2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2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2</v>
      </c>
      <c r="Q26" s="16">
        <v>0</v>
      </c>
    </row>
    <row r="27" spans="1:17" x14ac:dyDescent="0.35">
      <c r="A27" s="16" t="s">
        <v>78</v>
      </c>
      <c r="B27" s="17">
        <f t="shared" si="1"/>
        <v>1</v>
      </c>
      <c r="C27" s="17">
        <f t="shared" si="2"/>
        <v>1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1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1</v>
      </c>
      <c r="Q27" s="16">
        <v>0</v>
      </c>
    </row>
    <row r="28" spans="1:17" x14ac:dyDescent="0.35">
      <c r="A28" s="16" t="s">
        <v>85</v>
      </c>
      <c r="B28" s="17">
        <f t="shared" si="1"/>
        <v>1</v>
      </c>
      <c r="C28" s="17">
        <f t="shared" si="2"/>
        <v>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1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3</v>
      </c>
      <c r="Q28" s="16">
        <v>0</v>
      </c>
    </row>
    <row r="29" spans="1:17" x14ac:dyDescent="0.35">
      <c r="A29" s="16" t="s">
        <v>31</v>
      </c>
      <c r="B29" s="17">
        <f t="shared" si="1"/>
        <v>30</v>
      </c>
      <c r="C29" s="17">
        <f t="shared" si="2"/>
        <v>54</v>
      </c>
      <c r="D29" s="16">
        <v>13</v>
      </c>
      <c r="E29" s="16">
        <v>12</v>
      </c>
      <c r="F29" s="16">
        <v>3</v>
      </c>
      <c r="G29" s="16">
        <v>2</v>
      </c>
      <c r="H29" s="16">
        <v>0</v>
      </c>
      <c r="I29" s="16">
        <v>0</v>
      </c>
      <c r="J29" s="16">
        <v>0</v>
      </c>
      <c r="K29" s="16">
        <v>28</v>
      </c>
      <c r="L29" s="16">
        <v>21</v>
      </c>
      <c r="M29" s="16">
        <v>3</v>
      </c>
      <c r="N29" s="16">
        <v>2</v>
      </c>
      <c r="O29" s="16">
        <v>0</v>
      </c>
      <c r="P29" s="16">
        <v>0</v>
      </c>
      <c r="Q29" s="16">
        <v>0</v>
      </c>
    </row>
    <row r="30" spans="1:17" x14ac:dyDescent="0.35">
      <c r="A30" s="16" t="s">
        <v>32</v>
      </c>
      <c r="B30" s="17">
        <f t="shared" si="1"/>
        <v>24</v>
      </c>
      <c r="C30" s="17">
        <f t="shared" si="2"/>
        <v>61</v>
      </c>
      <c r="D30" s="16">
        <v>15</v>
      </c>
      <c r="E30" s="16">
        <v>3</v>
      </c>
      <c r="F30" s="16">
        <v>5</v>
      </c>
      <c r="G30" s="16">
        <v>1</v>
      </c>
      <c r="H30" s="16">
        <v>0</v>
      </c>
      <c r="I30" s="16">
        <v>0</v>
      </c>
      <c r="J30" s="16">
        <v>0</v>
      </c>
      <c r="K30" s="16">
        <v>39</v>
      </c>
      <c r="L30" s="16">
        <v>7</v>
      </c>
      <c r="M30" s="16">
        <v>13</v>
      </c>
      <c r="N30" s="16">
        <v>2</v>
      </c>
      <c r="O30" s="16">
        <v>0</v>
      </c>
      <c r="P30" s="16">
        <v>0</v>
      </c>
      <c r="Q30" s="16">
        <v>0</v>
      </c>
    </row>
    <row r="31" spans="1:17" x14ac:dyDescent="0.35">
      <c r="A31" s="16" t="s">
        <v>33</v>
      </c>
      <c r="B31" s="17">
        <f t="shared" si="1"/>
        <v>81</v>
      </c>
      <c r="C31" s="17">
        <f t="shared" si="2"/>
        <v>234</v>
      </c>
      <c r="D31" s="16">
        <v>50</v>
      </c>
      <c r="E31" s="16">
        <v>15</v>
      </c>
      <c r="F31" s="16">
        <v>7</v>
      </c>
      <c r="G31" s="16">
        <v>9</v>
      </c>
      <c r="H31" s="16">
        <v>0</v>
      </c>
      <c r="I31" s="16">
        <v>0</v>
      </c>
      <c r="J31" s="16">
        <v>0</v>
      </c>
      <c r="K31" s="16">
        <v>138</v>
      </c>
      <c r="L31" s="16">
        <v>34</v>
      </c>
      <c r="M31" s="16">
        <v>32</v>
      </c>
      <c r="N31" s="16">
        <v>30</v>
      </c>
      <c r="O31" s="16">
        <v>0</v>
      </c>
      <c r="P31" s="16">
        <v>0</v>
      </c>
      <c r="Q31" s="16">
        <v>0</v>
      </c>
    </row>
    <row r="32" spans="1:17" x14ac:dyDescent="0.35">
      <c r="A32" s="16" t="s">
        <v>34</v>
      </c>
      <c r="B32" s="17">
        <f t="shared" si="1"/>
        <v>1008</v>
      </c>
      <c r="C32" s="17">
        <f t="shared" si="2"/>
        <v>2068</v>
      </c>
      <c r="D32" s="16">
        <v>644</v>
      </c>
      <c r="E32" s="16">
        <v>223</v>
      </c>
      <c r="F32" s="16">
        <v>52</v>
      </c>
      <c r="G32" s="16">
        <v>89</v>
      </c>
      <c r="H32" s="16">
        <v>0</v>
      </c>
      <c r="I32" s="16">
        <v>0</v>
      </c>
      <c r="J32" s="16">
        <v>0</v>
      </c>
      <c r="K32" s="16">
        <v>1339</v>
      </c>
      <c r="L32" s="16">
        <v>448</v>
      </c>
      <c r="M32" s="16">
        <v>103</v>
      </c>
      <c r="N32" s="16">
        <v>178</v>
      </c>
      <c r="O32" s="16">
        <v>0</v>
      </c>
      <c r="P32" s="16">
        <v>0</v>
      </c>
      <c r="Q32" s="16">
        <v>0</v>
      </c>
    </row>
    <row r="33" spans="1:23" x14ac:dyDescent="0.35">
      <c r="A33" s="16" t="s">
        <v>67</v>
      </c>
      <c r="B33" s="17">
        <f t="shared" si="1"/>
        <v>3</v>
      </c>
      <c r="C33" s="17">
        <f t="shared" si="2"/>
        <v>3</v>
      </c>
      <c r="D33" s="16">
        <v>1</v>
      </c>
      <c r="E33" s="16">
        <v>0</v>
      </c>
      <c r="F33" s="16">
        <v>0</v>
      </c>
      <c r="G33" s="16">
        <v>2</v>
      </c>
      <c r="H33" s="16">
        <v>0</v>
      </c>
      <c r="I33" s="16">
        <v>0</v>
      </c>
      <c r="J33" s="16">
        <v>0</v>
      </c>
      <c r="K33" s="16">
        <v>1</v>
      </c>
      <c r="L33" s="16">
        <v>0</v>
      </c>
      <c r="M33" s="16">
        <v>0</v>
      </c>
      <c r="N33" s="16">
        <v>2</v>
      </c>
      <c r="O33" s="16">
        <v>0</v>
      </c>
      <c r="P33" s="16">
        <v>0</v>
      </c>
      <c r="Q33" s="16">
        <v>0</v>
      </c>
    </row>
    <row r="34" spans="1:23" x14ac:dyDescent="0.35">
      <c r="A34" s="16" t="s">
        <v>35</v>
      </c>
      <c r="B34" s="17">
        <f t="shared" si="1"/>
        <v>370</v>
      </c>
      <c r="C34" s="17">
        <f t="shared" si="2"/>
        <v>599</v>
      </c>
      <c r="D34" s="16">
        <v>176</v>
      </c>
      <c r="E34" s="16">
        <v>102</v>
      </c>
      <c r="F34" s="16">
        <v>24</v>
      </c>
      <c r="G34" s="16">
        <v>68</v>
      </c>
      <c r="H34" s="16">
        <v>0</v>
      </c>
      <c r="I34" s="16">
        <v>0</v>
      </c>
      <c r="J34" s="16">
        <v>0</v>
      </c>
      <c r="K34" s="16">
        <v>280</v>
      </c>
      <c r="L34" s="16">
        <v>184</v>
      </c>
      <c r="M34" s="16">
        <v>41</v>
      </c>
      <c r="N34" s="16">
        <v>94</v>
      </c>
      <c r="O34" s="16">
        <v>0</v>
      </c>
      <c r="P34" s="16">
        <v>0</v>
      </c>
      <c r="Q34" s="16">
        <v>0</v>
      </c>
    </row>
    <row r="35" spans="1:23" x14ac:dyDescent="0.35">
      <c r="A35" s="16" t="s">
        <v>36</v>
      </c>
      <c r="B35" s="17">
        <f t="shared" si="1"/>
        <v>32</v>
      </c>
      <c r="C35" s="17">
        <f t="shared" si="2"/>
        <v>40</v>
      </c>
      <c r="D35" s="16">
        <v>15</v>
      </c>
      <c r="E35" s="16">
        <v>11</v>
      </c>
      <c r="F35" s="16">
        <v>2</v>
      </c>
      <c r="G35" s="16">
        <v>4</v>
      </c>
      <c r="H35" s="16">
        <v>0</v>
      </c>
      <c r="I35" s="16">
        <v>0</v>
      </c>
      <c r="J35" s="16">
        <v>0</v>
      </c>
      <c r="K35" s="16">
        <v>18</v>
      </c>
      <c r="L35" s="16">
        <v>13</v>
      </c>
      <c r="M35" s="16">
        <v>3</v>
      </c>
      <c r="N35" s="16">
        <v>6</v>
      </c>
      <c r="O35" s="16">
        <v>0</v>
      </c>
      <c r="P35" s="16">
        <v>0</v>
      </c>
      <c r="Q35" s="16">
        <v>0</v>
      </c>
    </row>
    <row r="36" spans="1:23" x14ac:dyDescent="0.35">
      <c r="A36" s="16" t="s">
        <v>37</v>
      </c>
      <c r="B36" s="17">
        <f t="shared" si="1"/>
        <v>202</v>
      </c>
      <c r="C36" s="17">
        <f t="shared" si="2"/>
        <v>416</v>
      </c>
      <c r="D36" s="16">
        <v>109</v>
      </c>
      <c r="E36" s="16">
        <v>63</v>
      </c>
      <c r="F36" s="16">
        <v>13</v>
      </c>
      <c r="G36" s="16">
        <v>17</v>
      </c>
      <c r="H36" s="16">
        <v>0</v>
      </c>
      <c r="I36" s="16">
        <v>0</v>
      </c>
      <c r="J36" s="16">
        <v>0</v>
      </c>
      <c r="K36" s="16">
        <v>243</v>
      </c>
      <c r="L36" s="16">
        <v>124</v>
      </c>
      <c r="M36" s="16">
        <v>23</v>
      </c>
      <c r="N36" s="16">
        <v>26</v>
      </c>
      <c r="O36" s="16">
        <v>0</v>
      </c>
      <c r="P36" s="16">
        <v>0</v>
      </c>
      <c r="Q36" s="16">
        <v>0</v>
      </c>
    </row>
    <row r="37" spans="1:23" x14ac:dyDescent="0.35">
      <c r="A37" s="16" t="s">
        <v>38</v>
      </c>
      <c r="B37" s="17">
        <f t="shared" si="1"/>
        <v>112</v>
      </c>
      <c r="C37" s="17">
        <f t="shared" si="2"/>
        <v>315</v>
      </c>
      <c r="D37" s="16">
        <v>67</v>
      </c>
      <c r="E37" s="16">
        <v>23</v>
      </c>
      <c r="F37" s="16">
        <v>6</v>
      </c>
      <c r="G37" s="16">
        <v>16</v>
      </c>
      <c r="H37" s="16">
        <v>0</v>
      </c>
      <c r="I37" s="16">
        <v>0</v>
      </c>
      <c r="J37" s="16">
        <v>0</v>
      </c>
      <c r="K37" s="16">
        <v>182</v>
      </c>
      <c r="L37" s="16">
        <v>61</v>
      </c>
      <c r="M37" s="16">
        <v>14</v>
      </c>
      <c r="N37" s="16">
        <v>58</v>
      </c>
      <c r="O37" s="16">
        <v>0</v>
      </c>
      <c r="P37" s="16">
        <v>0</v>
      </c>
      <c r="Q37" s="16">
        <v>0</v>
      </c>
    </row>
    <row r="38" spans="1:23" x14ac:dyDescent="0.35">
      <c r="A38" s="16" t="s">
        <v>39</v>
      </c>
      <c r="B38" s="17">
        <f t="shared" si="1"/>
        <v>54</v>
      </c>
      <c r="C38" s="17">
        <f t="shared" si="2"/>
        <v>161</v>
      </c>
      <c r="D38" s="16">
        <v>36</v>
      </c>
      <c r="E38" s="16">
        <v>12</v>
      </c>
      <c r="F38" s="16">
        <v>2</v>
      </c>
      <c r="G38" s="16">
        <v>4</v>
      </c>
      <c r="H38" s="16">
        <v>0</v>
      </c>
      <c r="I38" s="16">
        <v>0</v>
      </c>
      <c r="J38" s="16">
        <v>0</v>
      </c>
      <c r="K38" s="16">
        <v>110</v>
      </c>
      <c r="L38" s="16">
        <v>38</v>
      </c>
      <c r="M38" s="16">
        <v>3</v>
      </c>
      <c r="N38" s="16">
        <v>10</v>
      </c>
      <c r="O38" s="16">
        <v>0</v>
      </c>
      <c r="P38" s="16">
        <v>0</v>
      </c>
      <c r="Q38" s="16">
        <v>0</v>
      </c>
    </row>
    <row r="39" spans="1:23" x14ac:dyDescent="0.35">
      <c r="A39" s="16" t="s">
        <v>40</v>
      </c>
      <c r="B39" s="17">
        <f t="shared" si="1"/>
        <v>79</v>
      </c>
      <c r="C39" s="17">
        <f t="shared" si="2"/>
        <v>178</v>
      </c>
      <c r="D39" s="16">
        <v>29</v>
      </c>
      <c r="E39" s="16">
        <v>29</v>
      </c>
      <c r="F39" s="16">
        <v>12</v>
      </c>
      <c r="G39" s="16">
        <v>9</v>
      </c>
      <c r="H39" s="16">
        <v>0</v>
      </c>
      <c r="I39" s="16">
        <v>0</v>
      </c>
      <c r="J39" s="16">
        <v>0</v>
      </c>
      <c r="K39" s="16">
        <v>54</v>
      </c>
      <c r="L39" s="16">
        <v>74</v>
      </c>
      <c r="M39" s="16">
        <v>32</v>
      </c>
      <c r="N39" s="16">
        <v>18</v>
      </c>
      <c r="O39" s="16">
        <v>0</v>
      </c>
      <c r="P39" s="16">
        <v>0</v>
      </c>
      <c r="Q39" s="16">
        <v>0</v>
      </c>
    </row>
    <row r="40" spans="1:23" x14ac:dyDescent="0.35">
      <c r="A40" s="16" t="s">
        <v>41</v>
      </c>
      <c r="B40" s="17">
        <f t="shared" si="1"/>
        <v>20</v>
      </c>
      <c r="C40" s="17">
        <f t="shared" si="2"/>
        <v>51</v>
      </c>
      <c r="D40" s="16">
        <v>6</v>
      </c>
      <c r="E40" s="16">
        <v>10</v>
      </c>
      <c r="F40" s="16">
        <v>2</v>
      </c>
      <c r="G40" s="16">
        <v>2</v>
      </c>
      <c r="H40" s="16">
        <v>0</v>
      </c>
      <c r="I40" s="16">
        <v>0</v>
      </c>
      <c r="J40" s="16">
        <v>0</v>
      </c>
      <c r="K40" s="16">
        <v>16</v>
      </c>
      <c r="L40" s="16">
        <v>25</v>
      </c>
      <c r="M40" s="16">
        <v>6</v>
      </c>
      <c r="N40" s="16">
        <v>4</v>
      </c>
      <c r="O40" s="16">
        <v>0</v>
      </c>
      <c r="P40" s="16">
        <v>0</v>
      </c>
      <c r="Q40" s="16">
        <v>0</v>
      </c>
    </row>
    <row r="41" spans="1:23" x14ac:dyDescent="0.35">
      <c r="A41" s="16" t="s">
        <v>42</v>
      </c>
      <c r="B41" s="17">
        <f t="shared" si="1"/>
        <v>39</v>
      </c>
      <c r="C41" s="17">
        <f t="shared" si="2"/>
        <v>80</v>
      </c>
      <c r="D41" s="16">
        <v>23</v>
      </c>
      <c r="E41" s="16">
        <v>12</v>
      </c>
      <c r="F41" s="16">
        <v>1</v>
      </c>
      <c r="G41" s="16">
        <v>3</v>
      </c>
      <c r="H41" s="16">
        <v>0</v>
      </c>
      <c r="I41" s="16">
        <v>0</v>
      </c>
      <c r="J41" s="16">
        <v>0</v>
      </c>
      <c r="K41" s="16">
        <v>55</v>
      </c>
      <c r="L41" s="16">
        <v>19</v>
      </c>
      <c r="M41" s="16">
        <v>3</v>
      </c>
      <c r="N41" s="16">
        <v>3</v>
      </c>
      <c r="O41" s="16">
        <v>0</v>
      </c>
      <c r="P41" s="16">
        <v>0</v>
      </c>
      <c r="Q41" s="16">
        <v>0</v>
      </c>
    </row>
    <row r="42" spans="1:23" x14ac:dyDescent="0.35">
      <c r="A42" s="18">
        <v>3753</v>
      </c>
      <c r="B42" s="19">
        <v>660</v>
      </c>
      <c r="C42" s="19">
        <v>1225</v>
      </c>
      <c r="D42" s="19">
        <f t="shared" ref="D42:Q42" si="3">SUM(D43:D46)</f>
        <v>374</v>
      </c>
      <c r="E42" s="19">
        <f t="shared" si="3"/>
        <v>163</v>
      </c>
      <c r="F42" s="19">
        <f t="shared" si="3"/>
        <v>42</v>
      </c>
      <c r="G42" s="19">
        <f t="shared" si="3"/>
        <v>81</v>
      </c>
      <c r="H42" s="19">
        <f t="shared" si="3"/>
        <v>0</v>
      </c>
      <c r="I42" s="19">
        <f t="shared" si="3"/>
        <v>0</v>
      </c>
      <c r="J42" s="19">
        <f t="shared" si="3"/>
        <v>0</v>
      </c>
      <c r="K42" s="19">
        <f t="shared" si="3"/>
        <v>650</v>
      </c>
      <c r="L42" s="19">
        <f t="shared" si="3"/>
        <v>321</v>
      </c>
      <c r="M42" s="19">
        <f t="shared" si="3"/>
        <v>88</v>
      </c>
      <c r="N42" s="19">
        <f t="shared" si="3"/>
        <v>166</v>
      </c>
      <c r="O42" s="19">
        <f t="shared" si="3"/>
        <v>0</v>
      </c>
      <c r="P42" s="19">
        <f t="shared" si="3"/>
        <v>0</v>
      </c>
      <c r="Q42" s="19">
        <f t="shared" si="3"/>
        <v>0</v>
      </c>
    </row>
    <row r="43" spans="1:23" x14ac:dyDescent="0.35">
      <c r="A43" s="16" t="s">
        <v>43</v>
      </c>
      <c r="B43" s="20">
        <f>SUM(D43:J43)</f>
        <v>87</v>
      </c>
      <c r="C43" s="20">
        <f t="shared" ref="C43:C50" si="4">SUM(K43:Q43)</f>
        <v>152</v>
      </c>
      <c r="D43" s="16">
        <v>47</v>
      </c>
      <c r="E43" s="16">
        <v>25</v>
      </c>
      <c r="F43" s="16">
        <v>6</v>
      </c>
      <c r="G43" s="16">
        <v>9</v>
      </c>
      <c r="H43" s="16">
        <v>0</v>
      </c>
      <c r="I43" s="16">
        <v>0</v>
      </c>
      <c r="J43" s="16">
        <v>0</v>
      </c>
      <c r="K43" s="16">
        <v>76</v>
      </c>
      <c r="L43" s="16">
        <v>40</v>
      </c>
      <c r="M43" s="16">
        <v>11</v>
      </c>
      <c r="N43" s="16">
        <v>25</v>
      </c>
      <c r="O43" s="16">
        <v>0</v>
      </c>
      <c r="P43" s="16">
        <v>0</v>
      </c>
      <c r="Q43" s="16">
        <v>0</v>
      </c>
      <c r="R43" s="15"/>
      <c r="S43" s="15"/>
      <c r="T43" s="15"/>
      <c r="U43" s="15"/>
      <c r="V43" s="15"/>
      <c r="W43" s="15"/>
    </row>
    <row r="44" spans="1:23" x14ac:dyDescent="0.35">
      <c r="A44" s="16" t="s">
        <v>44</v>
      </c>
      <c r="B44" s="20">
        <f>SUM(D44:J44)</f>
        <v>63</v>
      </c>
      <c r="C44" s="20">
        <f t="shared" si="4"/>
        <v>128</v>
      </c>
      <c r="D44" s="16">
        <v>29</v>
      </c>
      <c r="E44" s="16">
        <v>22</v>
      </c>
      <c r="F44" s="16">
        <v>7</v>
      </c>
      <c r="G44" s="16">
        <v>5</v>
      </c>
      <c r="H44" s="16">
        <v>0</v>
      </c>
      <c r="I44" s="16">
        <v>0</v>
      </c>
      <c r="J44" s="16">
        <v>0</v>
      </c>
      <c r="K44" s="16">
        <v>51</v>
      </c>
      <c r="L44" s="16">
        <v>50</v>
      </c>
      <c r="M44" s="16">
        <v>18</v>
      </c>
      <c r="N44" s="16">
        <v>9</v>
      </c>
      <c r="O44" s="16">
        <v>0</v>
      </c>
      <c r="P44" s="16">
        <v>0</v>
      </c>
      <c r="Q44" s="16">
        <v>0</v>
      </c>
    </row>
    <row r="45" spans="1:23" x14ac:dyDescent="0.35">
      <c r="A45" s="16" t="s">
        <v>45</v>
      </c>
      <c r="B45" s="20">
        <f>SUM(D45:J45)</f>
        <v>144</v>
      </c>
      <c r="C45" s="20">
        <f t="shared" si="4"/>
        <v>290</v>
      </c>
      <c r="D45" s="16">
        <v>83</v>
      </c>
      <c r="E45" s="16">
        <v>42</v>
      </c>
      <c r="F45" s="16">
        <v>7</v>
      </c>
      <c r="G45" s="16">
        <v>12</v>
      </c>
      <c r="H45" s="16">
        <v>0</v>
      </c>
      <c r="I45" s="16">
        <v>0</v>
      </c>
      <c r="J45" s="16">
        <v>0</v>
      </c>
      <c r="K45" s="16">
        <v>147</v>
      </c>
      <c r="L45" s="16">
        <v>94</v>
      </c>
      <c r="M45" s="16">
        <v>18</v>
      </c>
      <c r="N45" s="16">
        <v>31</v>
      </c>
      <c r="O45" s="16">
        <v>0</v>
      </c>
      <c r="P45" s="16">
        <v>0</v>
      </c>
      <c r="Q45" s="16">
        <v>0</v>
      </c>
    </row>
    <row r="46" spans="1:23" x14ac:dyDescent="0.35">
      <c r="A46" s="16" t="s">
        <v>46</v>
      </c>
      <c r="B46" s="20">
        <f>SUM(D46:J46)</f>
        <v>366</v>
      </c>
      <c r="C46" s="20">
        <f t="shared" si="4"/>
        <v>655</v>
      </c>
      <c r="D46" s="16">
        <v>215</v>
      </c>
      <c r="E46" s="16">
        <v>74</v>
      </c>
      <c r="F46" s="16">
        <v>22</v>
      </c>
      <c r="G46" s="16">
        <v>55</v>
      </c>
      <c r="H46" s="16">
        <v>0</v>
      </c>
      <c r="I46" s="16">
        <v>0</v>
      </c>
      <c r="J46" s="16">
        <v>0</v>
      </c>
      <c r="K46" s="16">
        <v>376</v>
      </c>
      <c r="L46" s="16">
        <v>137</v>
      </c>
      <c r="M46" s="16">
        <v>41</v>
      </c>
      <c r="N46" s="16">
        <v>101</v>
      </c>
      <c r="O46" s="16">
        <v>0</v>
      </c>
      <c r="P46" s="16">
        <v>0</v>
      </c>
      <c r="Q46" s="16">
        <v>0</v>
      </c>
    </row>
    <row r="47" spans="1:23" x14ac:dyDescent="0.35">
      <c r="A47" s="18">
        <v>3754</v>
      </c>
      <c r="B47" s="19">
        <f>SUM(D47:J47)</f>
        <v>203</v>
      </c>
      <c r="C47" s="19">
        <f t="shared" si="4"/>
        <v>406</v>
      </c>
      <c r="D47" s="19">
        <f t="shared" ref="D47:Q47" si="5">SUM(D48:D50)</f>
        <v>113</v>
      </c>
      <c r="E47" s="19">
        <f t="shared" si="5"/>
        <v>44</v>
      </c>
      <c r="F47" s="19">
        <f t="shared" si="5"/>
        <v>12</v>
      </c>
      <c r="G47" s="19">
        <f t="shared" si="5"/>
        <v>34</v>
      </c>
      <c r="H47" s="19">
        <f t="shared" si="5"/>
        <v>0</v>
      </c>
      <c r="I47" s="19">
        <f t="shared" si="5"/>
        <v>0</v>
      </c>
      <c r="J47" s="19">
        <f t="shared" si="5"/>
        <v>0</v>
      </c>
      <c r="K47" s="19">
        <f t="shared" si="5"/>
        <v>212</v>
      </c>
      <c r="L47" s="19">
        <f t="shared" si="5"/>
        <v>100</v>
      </c>
      <c r="M47" s="19">
        <f t="shared" si="5"/>
        <v>29</v>
      </c>
      <c r="N47" s="19">
        <f t="shared" si="5"/>
        <v>65</v>
      </c>
      <c r="O47" s="19">
        <f t="shared" si="5"/>
        <v>0</v>
      </c>
      <c r="P47" s="19">
        <f t="shared" si="5"/>
        <v>0</v>
      </c>
      <c r="Q47" s="19">
        <f t="shared" si="5"/>
        <v>0</v>
      </c>
    </row>
    <row r="48" spans="1:23" x14ac:dyDescent="0.35">
      <c r="A48" s="16" t="s">
        <v>47</v>
      </c>
      <c r="B48" s="20">
        <f>SUM(D49:J49)</f>
        <v>136</v>
      </c>
      <c r="C48" s="20">
        <f t="shared" si="4"/>
        <v>39</v>
      </c>
      <c r="D48" s="16">
        <v>13</v>
      </c>
      <c r="E48" s="16">
        <v>9</v>
      </c>
      <c r="F48" s="16">
        <v>3</v>
      </c>
      <c r="G48" s="16">
        <v>2</v>
      </c>
      <c r="H48" s="16">
        <v>0</v>
      </c>
      <c r="I48" s="16">
        <v>0</v>
      </c>
      <c r="J48" s="16">
        <v>0</v>
      </c>
      <c r="K48" s="16">
        <v>20</v>
      </c>
      <c r="L48" s="16">
        <v>13</v>
      </c>
      <c r="M48" s="16">
        <v>4</v>
      </c>
      <c r="N48" s="16">
        <v>2</v>
      </c>
      <c r="O48" s="16">
        <v>0</v>
      </c>
      <c r="P48" s="16">
        <v>0</v>
      </c>
      <c r="Q48" s="16">
        <v>0</v>
      </c>
      <c r="R48" s="15"/>
      <c r="S48" s="15"/>
      <c r="T48" s="15"/>
      <c r="U48" s="15"/>
      <c r="V48" s="15"/>
      <c r="W48" s="15"/>
    </row>
    <row r="49" spans="1:17" x14ac:dyDescent="0.35">
      <c r="A49" s="16" t="s">
        <v>48</v>
      </c>
      <c r="B49" s="20">
        <f>SUM(D50:J50)</f>
        <v>40</v>
      </c>
      <c r="C49" s="20">
        <f t="shared" si="4"/>
        <v>276</v>
      </c>
      <c r="D49" s="16">
        <v>81</v>
      </c>
      <c r="E49" s="16">
        <v>23</v>
      </c>
      <c r="F49" s="16">
        <v>5</v>
      </c>
      <c r="G49" s="16">
        <v>27</v>
      </c>
      <c r="H49" s="16">
        <v>0</v>
      </c>
      <c r="I49" s="16">
        <v>0</v>
      </c>
      <c r="J49" s="16">
        <v>0</v>
      </c>
      <c r="K49" s="16">
        <v>154</v>
      </c>
      <c r="L49" s="16">
        <v>58</v>
      </c>
      <c r="M49" s="16">
        <v>9</v>
      </c>
      <c r="N49" s="16">
        <v>55</v>
      </c>
      <c r="O49" s="16">
        <v>0</v>
      </c>
      <c r="P49" s="16">
        <v>0</v>
      </c>
      <c r="Q49" s="16">
        <v>0</v>
      </c>
    </row>
    <row r="50" spans="1:17" x14ac:dyDescent="0.35">
      <c r="A50" s="16" t="s">
        <v>49</v>
      </c>
      <c r="B50" s="20">
        <f>SUM(D50:J50)</f>
        <v>40</v>
      </c>
      <c r="C50" s="20">
        <f t="shared" si="4"/>
        <v>91</v>
      </c>
      <c r="D50" s="16">
        <v>19</v>
      </c>
      <c r="E50" s="16">
        <v>12</v>
      </c>
      <c r="F50" s="16">
        <v>4</v>
      </c>
      <c r="G50" s="16">
        <v>5</v>
      </c>
      <c r="H50" s="16">
        <v>0</v>
      </c>
      <c r="I50" s="16">
        <v>0</v>
      </c>
      <c r="J50" s="16">
        <v>0</v>
      </c>
      <c r="K50" s="16">
        <v>38</v>
      </c>
      <c r="L50" s="16">
        <v>29</v>
      </c>
      <c r="M50" s="16">
        <v>16</v>
      </c>
      <c r="N50" s="16">
        <v>8</v>
      </c>
      <c r="O50" s="16">
        <v>0</v>
      </c>
      <c r="P50" s="16">
        <v>0</v>
      </c>
      <c r="Q50" s="16">
        <v>0</v>
      </c>
    </row>
    <row r="51" spans="1:17" x14ac:dyDescent="0.35">
      <c r="A51" s="18">
        <v>3755</v>
      </c>
      <c r="B51" s="19">
        <f>D51+E51+F51+G51+H51+I51</f>
        <v>108</v>
      </c>
      <c r="C51" s="19">
        <f>K51+L51+M51+N51+O51+P51</f>
        <v>212</v>
      </c>
      <c r="D51" s="32">
        <f t="shared" ref="D51:Q51" si="6">SUM(D52:D53)</f>
        <v>54</v>
      </c>
      <c r="E51" s="32">
        <f t="shared" si="6"/>
        <v>17</v>
      </c>
      <c r="F51" s="32">
        <f t="shared" si="6"/>
        <v>10</v>
      </c>
      <c r="G51" s="32">
        <f t="shared" si="6"/>
        <v>27</v>
      </c>
      <c r="H51" s="32">
        <f t="shared" si="6"/>
        <v>0</v>
      </c>
      <c r="I51" s="32">
        <f t="shared" si="6"/>
        <v>0</v>
      </c>
      <c r="J51" s="32">
        <f t="shared" si="6"/>
        <v>0</v>
      </c>
      <c r="K51" s="32">
        <f t="shared" si="6"/>
        <v>131</v>
      </c>
      <c r="L51" s="32">
        <f t="shared" si="6"/>
        <v>28</v>
      </c>
      <c r="M51" s="32">
        <f t="shared" si="6"/>
        <v>18</v>
      </c>
      <c r="N51" s="32">
        <f t="shared" si="6"/>
        <v>35</v>
      </c>
      <c r="O51" s="32">
        <f t="shared" si="6"/>
        <v>0</v>
      </c>
      <c r="P51" s="32">
        <f t="shared" si="6"/>
        <v>0</v>
      </c>
      <c r="Q51" s="32">
        <f t="shared" si="6"/>
        <v>0</v>
      </c>
    </row>
    <row r="52" spans="1:17" x14ac:dyDescent="0.35">
      <c r="A52" s="16" t="s">
        <v>86</v>
      </c>
      <c r="B52" s="20">
        <f>D52+E52+F52+G52+H52+I52</f>
        <v>27</v>
      </c>
      <c r="C52" s="20">
        <f>K52+L52+M52+N52+O52+P52</f>
        <v>38</v>
      </c>
      <c r="D52" s="16">
        <v>7</v>
      </c>
      <c r="E52" s="16">
        <v>5</v>
      </c>
      <c r="F52" s="16">
        <v>2</v>
      </c>
      <c r="G52" s="16">
        <v>13</v>
      </c>
      <c r="H52" s="16">
        <v>0</v>
      </c>
      <c r="I52" s="16">
        <v>0</v>
      </c>
      <c r="J52" s="16">
        <v>0</v>
      </c>
      <c r="K52" s="16">
        <v>11</v>
      </c>
      <c r="L52" s="16">
        <v>8</v>
      </c>
      <c r="M52" s="16">
        <v>2</v>
      </c>
      <c r="N52" s="16">
        <v>17</v>
      </c>
      <c r="O52" s="16">
        <v>0</v>
      </c>
      <c r="P52" s="16">
        <v>0</v>
      </c>
      <c r="Q52" s="16">
        <v>0</v>
      </c>
    </row>
    <row r="53" spans="1:17" x14ac:dyDescent="0.35">
      <c r="A53" s="16" t="s">
        <v>87</v>
      </c>
      <c r="B53" s="20">
        <f>D53+E53+F53+G53+H53+I53</f>
        <v>81</v>
      </c>
      <c r="C53" s="20">
        <f>K53+L53+M53+N53+O53+P53</f>
        <v>174</v>
      </c>
      <c r="D53" s="16">
        <v>47</v>
      </c>
      <c r="E53" s="16">
        <v>12</v>
      </c>
      <c r="F53" s="16">
        <v>8</v>
      </c>
      <c r="G53" s="16">
        <v>14</v>
      </c>
      <c r="H53" s="16">
        <v>0</v>
      </c>
      <c r="I53" s="16">
        <v>0</v>
      </c>
      <c r="J53" s="16">
        <v>0</v>
      </c>
      <c r="K53" s="16">
        <v>120</v>
      </c>
      <c r="L53" s="16">
        <v>20</v>
      </c>
      <c r="M53" s="16">
        <v>16</v>
      </c>
      <c r="N53" s="16">
        <v>18</v>
      </c>
      <c r="O53" s="16">
        <v>0</v>
      </c>
      <c r="P53" s="16">
        <v>0</v>
      </c>
      <c r="Q53" s="16">
        <v>0</v>
      </c>
    </row>
    <row r="54" spans="1:17" x14ac:dyDescent="0.35">
      <c r="A54" s="23" t="s">
        <v>50</v>
      </c>
      <c r="B54" s="23">
        <f t="shared" ref="B54:I54" si="7">B4+B42+B47+B51</f>
        <v>5897</v>
      </c>
      <c r="C54" s="23">
        <f t="shared" si="7"/>
        <v>12500</v>
      </c>
      <c r="D54" s="23">
        <f t="shared" si="7"/>
        <v>3339</v>
      </c>
      <c r="E54" s="23">
        <f t="shared" si="7"/>
        <v>1459</v>
      </c>
      <c r="F54" s="23">
        <f t="shared" si="7"/>
        <v>357</v>
      </c>
      <c r="G54" s="23">
        <f t="shared" si="7"/>
        <v>732</v>
      </c>
      <c r="H54" s="23">
        <f t="shared" si="7"/>
        <v>3</v>
      </c>
      <c r="I54" s="23">
        <f t="shared" si="7"/>
        <v>6</v>
      </c>
      <c r="J54" s="23"/>
      <c r="K54" s="23">
        <f t="shared" ref="K54:Q54" si="8">K4+K42+K47+K51</f>
        <v>7155</v>
      </c>
      <c r="L54" s="23">
        <f t="shared" si="8"/>
        <v>3193</v>
      </c>
      <c r="M54" s="23">
        <f t="shared" si="8"/>
        <v>753</v>
      </c>
      <c r="N54" s="23">
        <f t="shared" si="8"/>
        <v>1387</v>
      </c>
      <c r="O54" s="23">
        <f t="shared" si="8"/>
        <v>3</v>
      </c>
      <c r="P54" s="23">
        <f t="shared" si="8"/>
        <v>8</v>
      </c>
      <c r="Q54" s="23">
        <f t="shared" si="8"/>
        <v>1</v>
      </c>
    </row>
    <row r="56" spans="1:17" ht="20" x14ac:dyDescent="0.35">
      <c r="A56" s="3" t="s">
        <v>51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7" x14ac:dyDescent="0.35">
      <c r="A57" s="2" t="s">
        <v>52</v>
      </c>
      <c r="B57" s="1" t="s">
        <v>8</v>
      </c>
      <c r="C57" s="1"/>
      <c r="D57" s="1" t="s">
        <v>9</v>
      </c>
      <c r="E57" s="1"/>
      <c r="F57" s="1" t="s">
        <v>10</v>
      </c>
      <c r="G57" s="1"/>
      <c r="H57" s="1" t="s">
        <v>11</v>
      </c>
      <c r="I57" s="1"/>
      <c r="J57" s="1" t="s">
        <v>68</v>
      </c>
      <c r="K57" s="1"/>
      <c r="L57" s="1" t="s">
        <v>53</v>
      </c>
      <c r="M57" s="1" t="s">
        <v>54</v>
      </c>
    </row>
    <row r="58" spans="1:17" x14ac:dyDescent="0.35">
      <c r="A58" s="2"/>
      <c r="B58" s="25" t="s">
        <v>55</v>
      </c>
      <c r="C58" s="25" t="s">
        <v>7</v>
      </c>
      <c r="D58" s="25" t="s">
        <v>55</v>
      </c>
      <c r="E58" s="25" t="s">
        <v>7</v>
      </c>
      <c r="F58" s="25" t="s">
        <v>55</v>
      </c>
      <c r="G58" s="25" t="s">
        <v>7</v>
      </c>
      <c r="H58" s="25" t="s">
        <v>55</v>
      </c>
      <c r="I58" s="25" t="s">
        <v>7</v>
      </c>
      <c r="J58" s="25" t="s">
        <v>55</v>
      </c>
      <c r="K58" s="25" t="s">
        <v>7</v>
      </c>
      <c r="L58" s="1" t="s">
        <v>53</v>
      </c>
      <c r="M58" s="1" t="s">
        <v>56</v>
      </c>
    </row>
    <row r="59" spans="1:17" x14ac:dyDescent="0.35">
      <c r="A59" s="26" t="s">
        <v>80</v>
      </c>
      <c r="B59" s="26">
        <v>67</v>
      </c>
      <c r="C59" s="26">
        <v>67</v>
      </c>
      <c r="D59" s="26">
        <v>29</v>
      </c>
      <c r="E59" s="26">
        <v>29</v>
      </c>
      <c r="F59" s="26">
        <v>15</v>
      </c>
      <c r="G59" s="26">
        <v>15</v>
      </c>
      <c r="H59" s="26">
        <v>0</v>
      </c>
      <c r="I59" s="26">
        <v>0</v>
      </c>
      <c r="J59" s="26">
        <v>1</v>
      </c>
      <c r="K59" s="26">
        <v>3</v>
      </c>
      <c r="L59" s="33">
        <f t="shared" ref="L59:M62" si="9">SUM(B59+D59+F59+H59+J59)</f>
        <v>112</v>
      </c>
      <c r="M59" s="33">
        <f t="shared" si="9"/>
        <v>114</v>
      </c>
    </row>
    <row r="60" spans="1:17" x14ac:dyDescent="0.35">
      <c r="A60" s="26" t="s">
        <v>57</v>
      </c>
      <c r="B60" s="26">
        <v>2635</v>
      </c>
      <c r="C60" s="26">
        <v>6569</v>
      </c>
      <c r="D60" s="26">
        <v>1143</v>
      </c>
      <c r="E60" s="26">
        <v>2954</v>
      </c>
      <c r="F60" s="26">
        <v>275</v>
      </c>
      <c r="G60" s="26">
        <v>708</v>
      </c>
      <c r="H60" s="26">
        <v>581</v>
      </c>
      <c r="I60" s="26">
        <v>1232</v>
      </c>
      <c r="J60" s="26">
        <v>0</v>
      </c>
      <c r="K60" s="26">
        <v>0</v>
      </c>
      <c r="L60" s="33">
        <f t="shared" si="9"/>
        <v>4634</v>
      </c>
      <c r="M60" s="33">
        <f t="shared" si="9"/>
        <v>11463</v>
      </c>
    </row>
    <row r="61" spans="1:17" x14ac:dyDescent="0.35">
      <c r="A61" s="26" t="s">
        <v>69</v>
      </c>
      <c r="B61" s="26">
        <v>15</v>
      </c>
      <c r="C61" s="26">
        <v>15</v>
      </c>
      <c r="D61" s="26">
        <v>14</v>
      </c>
      <c r="E61" s="26">
        <v>17</v>
      </c>
      <c r="F61" s="26">
        <v>5</v>
      </c>
      <c r="G61" s="26">
        <v>5</v>
      </c>
      <c r="H61" s="26">
        <v>35</v>
      </c>
      <c r="I61" s="26">
        <v>37</v>
      </c>
      <c r="J61" s="26">
        <v>5</v>
      </c>
      <c r="K61" s="26">
        <v>5</v>
      </c>
      <c r="L61" s="33">
        <f t="shared" si="9"/>
        <v>74</v>
      </c>
      <c r="M61" s="33">
        <f t="shared" si="9"/>
        <v>79</v>
      </c>
    </row>
    <row r="62" spans="1:17" x14ac:dyDescent="0.35">
      <c r="A62" s="26" t="s">
        <v>58</v>
      </c>
      <c r="B62" s="26">
        <v>233</v>
      </c>
      <c r="C62" s="26">
        <v>575</v>
      </c>
      <c r="D62" s="26">
        <v>72</v>
      </c>
      <c r="E62" s="26">
        <v>174</v>
      </c>
      <c r="F62" s="26">
        <v>9</v>
      </c>
      <c r="G62" s="26">
        <v>20</v>
      </c>
      <c r="H62" s="26">
        <v>23</v>
      </c>
      <c r="I62" s="26">
        <v>75</v>
      </c>
      <c r="J62" s="26">
        <v>0</v>
      </c>
      <c r="K62" s="26">
        <v>0</v>
      </c>
      <c r="L62" s="33">
        <f t="shared" si="9"/>
        <v>337</v>
      </c>
      <c r="M62" s="33">
        <f t="shared" si="9"/>
        <v>844</v>
      </c>
    </row>
    <row r="63" spans="1:17" x14ac:dyDescent="0.35">
      <c r="A63" s="27" t="s">
        <v>59</v>
      </c>
      <c r="B63" s="28">
        <f t="shared" ref="B63:M63" si="10">SUM(B59:B62)</f>
        <v>2950</v>
      </c>
      <c r="C63" s="28">
        <f t="shared" si="10"/>
        <v>7226</v>
      </c>
      <c r="D63" s="28">
        <f t="shared" si="10"/>
        <v>1258</v>
      </c>
      <c r="E63" s="28">
        <f t="shared" si="10"/>
        <v>3174</v>
      </c>
      <c r="F63" s="28">
        <f t="shared" si="10"/>
        <v>304</v>
      </c>
      <c r="G63" s="28">
        <f t="shared" si="10"/>
        <v>748</v>
      </c>
      <c r="H63" s="28">
        <f t="shared" si="10"/>
        <v>639</v>
      </c>
      <c r="I63" s="28">
        <f t="shared" si="10"/>
        <v>1344</v>
      </c>
      <c r="J63" s="28">
        <f t="shared" si="10"/>
        <v>6</v>
      </c>
      <c r="K63" s="28">
        <f t="shared" si="10"/>
        <v>8</v>
      </c>
      <c r="L63" s="28">
        <f t="shared" si="10"/>
        <v>5157</v>
      </c>
      <c r="M63" s="28">
        <f t="shared" si="10"/>
        <v>12500</v>
      </c>
    </row>
  </sheetData>
  <mergeCells count="13">
    <mergeCell ref="J57:K57"/>
    <mergeCell ref="L57:L58"/>
    <mergeCell ref="M57:M58"/>
    <mergeCell ref="A57:A58"/>
    <mergeCell ref="B57:C57"/>
    <mergeCell ref="D57:E57"/>
    <mergeCell ref="F57:G57"/>
    <mergeCell ref="H57:I57"/>
    <mergeCell ref="A1:O1"/>
    <mergeCell ref="B2:C2"/>
    <mergeCell ref="D2:J2"/>
    <mergeCell ref="K2:O2"/>
    <mergeCell ref="A56:M56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2"/>
  <sheetViews>
    <sheetView zoomScale="80" zoomScaleNormal="80" workbookViewId="0">
      <pane ySplit="3" topLeftCell="A25" activePane="bottomLeft" state="frozen"/>
      <selection pane="bottomLeft" activeCell="D77" sqref="D77"/>
    </sheetView>
  </sheetViews>
  <sheetFormatPr baseColWidth="10" defaultColWidth="15.1796875" defaultRowHeight="14.5" x14ac:dyDescent="0.35"/>
  <cols>
    <col min="1" max="1" width="47.08984375" customWidth="1"/>
    <col min="2" max="2" width="12.81640625" customWidth="1"/>
    <col min="3" max="3" width="6.54296875" customWidth="1"/>
    <col min="4" max="4" width="12.26953125" customWidth="1"/>
    <col min="5" max="5" width="10.26953125" customWidth="1"/>
    <col min="6" max="6" width="11" customWidth="1"/>
    <col min="7" max="7" width="8.453125" customWidth="1"/>
    <col min="8" max="9" width="6.90625" customWidth="1"/>
    <col min="10" max="11" width="7.08984375" customWidth="1"/>
    <col min="12" max="12" width="11.54296875" customWidth="1"/>
    <col min="13" max="13" width="15.36328125" customWidth="1"/>
    <col min="14" max="15" width="12.453125" customWidth="1"/>
  </cols>
  <sheetData>
    <row r="1" spans="1:23" ht="26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  <c r="Q1" s="7"/>
    </row>
    <row r="2" spans="1:23" ht="29.9" customHeight="1" x14ac:dyDescent="0.35">
      <c r="A2" s="8" t="s">
        <v>1</v>
      </c>
      <c r="B2" s="5" t="s">
        <v>93</v>
      </c>
      <c r="C2" s="5"/>
      <c r="D2" s="4" t="s">
        <v>3</v>
      </c>
      <c r="E2" s="4"/>
      <c r="F2" s="4"/>
      <c r="G2" s="4"/>
      <c r="H2" s="4"/>
      <c r="I2" s="4"/>
      <c r="J2" s="4"/>
      <c r="K2" s="4" t="s">
        <v>4</v>
      </c>
      <c r="L2" s="4"/>
      <c r="M2" s="4"/>
      <c r="N2" s="4"/>
      <c r="O2" s="4"/>
      <c r="P2" s="9"/>
      <c r="Q2" s="9"/>
    </row>
    <row r="3" spans="1:23" x14ac:dyDescent="0.35">
      <c r="A3" s="10" t="s">
        <v>5</v>
      </c>
      <c r="B3" s="11" t="s">
        <v>6</v>
      </c>
      <c r="C3" s="12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13" t="s">
        <v>71</v>
      </c>
      <c r="I3" s="13" t="s">
        <v>12</v>
      </c>
      <c r="J3" s="13" t="s">
        <v>92</v>
      </c>
      <c r="K3" s="13" t="s">
        <v>8</v>
      </c>
      <c r="L3" s="13" t="s">
        <v>9</v>
      </c>
      <c r="M3" s="13" t="s">
        <v>10</v>
      </c>
      <c r="N3" s="13" t="s">
        <v>11</v>
      </c>
      <c r="O3" s="13" t="s">
        <v>71</v>
      </c>
      <c r="P3" s="13" t="s">
        <v>12</v>
      </c>
      <c r="Q3" s="13" t="s">
        <v>92</v>
      </c>
    </row>
    <row r="4" spans="1:23" x14ac:dyDescent="0.35">
      <c r="A4" s="14">
        <v>3734</v>
      </c>
      <c r="B4" s="14">
        <f t="shared" ref="B4:Q4" si="0">SUM(B5:B49)</f>
        <v>5178</v>
      </c>
      <c r="C4" s="14">
        <f t="shared" si="0"/>
        <v>11561</v>
      </c>
      <c r="D4" s="14">
        <f t="shared" si="0"/>
        <v>2957</v>
      </c>
      <c r="E4" s="14">
        <f t="shared" si="0"/>
        <v>1288</v>
      </c>
      <c r="F4" s="14">
        <f t="shared" si="0"/>
        <v>309</v>
      </c>
      <c r="G4" s="14">
        <f t="shared" si="0"/>
        <v>602</v>
      </c>
      <c r="H4" s="14">
        <f t="shared" si="0"/>
        <v>0</v>
      </c>
      <c r="I4" s="14">
        <f t="shared" si="0"/>
        <v>22</v>
      </c>
      <c r="J4" s="14">
        <f t="shared" si="0"/>
        <v>0</v>
      </c>
      <c r="K4" s="14">
        <f t="shared" si="0"/>
        <v>6639</v>
      </c>
      <c r="L4" s="14">
        <f t="shared" si="0"/>
        <v>3024</v>
      </c>
      <c r="M4" s="14">
        <f t="shared" si="0"/>
        <v>646</v>
      </c>
      <c r="N4" s="14">
        <f t="shared" si="0"/>
        <v>1228</v>
      </c>
      <c r="O4" s="14">
        <f t="shared" si="0"/>
        <v>0</v>
      </c>
      <c r="P4" s="14">
        <f t="shared" si="0"/>
        <v>24</v>
      </c>
      <c r="Q4" s="14">
        <f t="shared" si="0"/>
        <v>0</v>
      </c>
      <c r="R4" s="15"/>
      <c r="S4" s="15"/>
      <c r="T4" s="15"/>
      <c r="U4" s="15"/>
      <c r="V4" s="15"/>
      <c r="W4" s="15"/>
    </row>
    <row r="5" spans="1:23" x14ac:dyDescent="0.35">
      <c r="A5" s="35" t="s">
        <v>13</v>
      </c>
      <c r="B5" s="36">
        <f t="shared" ref="B5:B49" si="1">SUM(D5:J5)</f>
        <v>12</v>
      </c>
      <c r="C5" s="17">
        <f t="shared" ref="C5:C49" si="2">SUM(K5:Q5)</f>
        <v>20</v>
      </c>
      <c r="D5" s="16">
        <v>5</v>
      </c>
      <c r="E5" s="16">
        <v>4</v>
      </c>
      <c r="F5" s="16">
        <v>1</v>
      </c>
      <c r="G5" s="16">
        <v>2</v>
      </c>
      <c r="H5" s="16">
        <v>0</v>
      </c>
      <c r="I5" s="16">
        <v>0</v>
      </c>
      <c r="J5" s="16">
        <v>0</v>
      </c>
      <c r="K5" s="16">
        <v>9</v>
      </c>
      <c r="L5" s="16">
        <v>7</v>
      </c>
      <c r="M5" s="16">
        <v>1</v>
      </c>
      <c r="N5" s="16">
        <v>3</v>
      </c>
      <c r="O5" s="16">
        <v>0</v>
      </c>
      <c r="P5" s="16">
        <v>0</v>
      </c>
      <c r="Q5" s="16">
        <v>0</v>
      </c>
    </row>
    <row r="6" spans="1:23" x14ac:dyDescent="0.35">
      <c r="A6" s="35" t="s">
        <v>14</v>
      </c>
      <c r="B6" s="36">
        <f t="shared" si="1"/>
        <v>158</v>
      </c>
      <c r="C6" s="17">
        <f t="shared" si="2"/>
        <v>236</v>
      </c>
      <c r="D6" s="16">
        <v>80</v>
      </c>
      <c r="E6" s="16">
        <v>45</v>
      </c>
      <c r="F6" s="16">
        <v>12</v>
      </c>
      <c r="G6" s="16">
        <v>21</v>
      </c>
      <c r="H6" s="16">
        <v>0</v>
      </c>
      <c r="I6" s="16">
        <v>0</v>
      </c>
      <c r="J6" s="16">
        <v>0</v>
      </c>
      <c r="K6" s="16">
        <v>121</v>
      </c>
      <c r="L6" s="16">
        <v>65</v>
      </c>
      <c r="M6" s="16">
        <v>16</v>
      </c>
      <c r="N6" s="16">
        <v>34</v>
      </c>
      <c r="O6" s="16">
        <v>0</v>
      </c>
      <c r="P6" s="16">
        <v>0</v>
      </c>
      <c r="Q6" s="16">
        <v>0</v>
      </c>
    </row>
    <row r="7" spans="1:23" x14ac:dyDescent="0.35">
      <c r="A7" s="35" t="s">
        <v>15</v>
      </c>
      <c r="B7" s="36">
        <f t="shared" si="1"/>
        <v>38</v>
      </c>
      <c r="C7" s="17">
        <f t="shared" si="2"/>
        <v>96</v>
      </c>
      <c r="D7" s="16">
        <v>17</v>
      </c>
      <c r="E7" s="16">
        <v>17</v>
      </c>
      <c r="F7" s="16">
        <v>1</v>
      </c>
      <c r="G7" s="16">
        <v>3</v>
      </c>
      <c r="H7" s="16">
        <v>0</v>
      </c>
      <c r="I7" s="16">
        <v>0</v>
      </c>
      <c r="J7" s="16">
        <v>0</v>
      </c>
      <c r="K7" s="16">
        <v>39</v>
      </c>
      <c r="L7" s="16">
        <v>50</v>
      </c>
      <c r="M7" s="16">
        <v>1</v>
      </c>
      <c r="N7" s="16">
        <v>6</v>
      </c>
      <c r="O7" s="16">
        <v>0</v>
      </c>
      <c r="P7" s="16">
        <v>0</v>
      </c>
      <c r="Q7" s="16">
        <v>0</v>
      </c>
    </row>
    <row r="8" spans="1:23" x14ac:dyDescent="0.35">
      <c r="A8" s="35" t="s">
        <v>16</v>
      </c>
      <c r="B8" s="36">
        <f t="shared" si="1"/>
        <v>155</v>
      </c>
      <c r="C8" s="17">
        <f t="shared" si="2"/>
        <v>446</v>
      </c>
      <c r="D8" s="16">
        <v>90</v>
      </c>
      <c r="E8" s="16">
        <v>37</v>
      </c>
      <c r="F8" s="16">
        <v>9</v>
      </c>
      <c r="G8" s="16">
        <v>19</v>
      </c>
      <c r="H8" s="16">
        <v>0</v>
      </c>
      <c r="I8" s="16">
        <v>0</v>
      </c>
      <c r="J8" s="16">
        <v>0</v>
      </c>
      <c r="K8" s="16">
        <v>259</v>
      </c>
      <c r="L8" s="16">
        <v>127</v>
      </c>
      <c r="M8" s="16">
        <v>24</v>
      </c>
      <c r="N8" s="16">
        <v>36</v>
      </c>
      <c r="O8" s="16">
        <v>0</v>
      </c>
      <c r="P8" s="16">
        <v>0</v>
      </c>
      <c r="Q8" s="16">
        <v>0</v>
      </c>
    </row>
    <row r="9" spans="1:23" x14ac:dyDescent="0.35">
      <c r="A9" s="35" t="s">
        <v>17</v>
      </c>
      <c r="B9" s="36">
        <f t="shared" si="1"/>
        <v>59</v>
      </c>
      <c r="C9" s="17">
        <f t="shared" si="2"/>
        <v>156</v>
      </c>
      <c r="D9" s="16">
        <v>23</v>
      </c>
      <c r="E9" s="16">
        <v>19</v>
      </c>
      <c r="F9" s="16">
        <v>13</v>
      </c>
      <c r="G9" s="16">
        <v>4</v>
      </c>
      <c r="H9" s="16">
        <v>0</v>
      </c>
      <c r="I9" s="16">
        <v>0</v>
      </c>
      <c r="J9" s="16">
        <v>0</v>
      </c>
      <c r="K9" s="16">
        <v>69</v>
      </c>
      <c r="L9" s="16">
        <v>53</v>
      </c>
      <c r="M9" s="16">
        <v>27</v>
      </c>
      <c r="N9" s="16">
        <v>7</v>
      </c>
      <c r="O9" s="16">
        <v>0</v>
      </c>
      <c r="P9" s="16">
        <v>0</v>
      </c>
      <c r="Q9" s="16">
        <v>0</v>
      </c>
    </row>
    <row r="10" spans="1:23" x14ac:dyDescent="0.35">
      <c r="A10" s="35" t="s">
        <v>18</v>
      </c>
      <c r="B10" s="36">
        <f t="shared" si="1"/>
        <v>860</v>
      </c>
      <c r="C10" s="17">
        <f t="shared" si="2"/>
        <v>2106</v>
      </c>
      <c r="D10" s="16">
        <v>508</v>
      </c>
      <c r="E10" s="16">
        <v>194</v>
      </c>
      <c r="F10" s="16">
        <v>45</v>
      </c>
      <c r="G10" s="16">
        <v>113</v>
      </c>
      <c r="H10" s="16">
        <v>0</v>
      </c>
      <c r="I10" s="16">
        <v>0</v>
      </c>
      <c r="J10" s="16">
        <v>0</v>
      </c>
      <c r="K10" s="16">
        <v>1234</v>
      </c>
      <c r="L10" s="16">
        <v>530</v>
      </c>
      <c r="M10" s="16">
        <v>104</v>
      </c>
      <c r="N10" s="16">
        <v>238</v>
      </c>
      <c r="O10" s="16">
        <v>0</v>
      </c>
      <c r="P10" s="16">
        <v>0</v>
      </c>
      <c r="Q10" s="16">
        <v>0</v>
      </c>
    </row>
    <row r="11" spans="1:23" x14ac:dyDescent="0.35">
      <c r="A11" s="35" t="s">
        <v>19</v>
      </c>
      <c r="B11" s="36">
        <f t="shared" si="1"/>
        <v>2</v>
      </c>
      <c r="C11" s="17">
        <f t="shared" si="2"/>
        <v>3</v>
      </c>
      <c r="D11" s="16">
        <v>0</v>
      </c>
      <c r="E11" s="16">
        <v>0</v>
      </c>
      <c r="F11" s="16">
        <v>1</v>
      </c>
      <c r="G11" s="16">
        <v>1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1</v>
      </c>
      <c r="N11" s="16">
        <v>2</v>
      </c>
      <c r="O11" s="16">
        <v>0</v>
      </c>
      <c r="P11" s="16">
        <v>0</v>
      </c>
      <c r="Q11" s="16">
        <v>0</v>
      </c>
    </row>
    <row r="12" spans="1:23" x14ac:dyDescent="0.35">
      <c r="A12" s="35" t="s">
        <v>20</v>
      </c>
      <c r="B12" s="36">
        <f t="shared" si="1"/>
        <v>42</v>
      </c>
      <c r="C12" s="17">
        <f t="shared" si="2"/>
        <v>110</v>
      </c>
      <c r="D12" s="16">
        <v>28</v>
      </c>
      <c r="E12" s="16">
        <v>10</v>
      </c>
      <c r="F12" s="16">
        <v>1</v>
      </c>
      <c r="G12" s="16">
        <v>3</v>
      </c>
      <c r="H12" s="16">
        <v>0</v>
      </c>
      <c r="I12" s="16">
        <v>0</v>
      </c>
      <c r="J12" s="16">
        <v>0</v>
      </c>
      <c r="K12" s="16">
        <v>75</v>
      </c>
      <c r="L12" s="16">
        <v>26</v>
      </c>
      <c r="M12" s="16">
        <v>2</v>
      </c>
      <c r="N12" s="16">
        <v>7</v>
      </c>
      <c r="O12" s="16">
        <v>0</v>
      </c>
      <c r="P12" s="16">
        <v>0</v>
      </c>
      <c r="Q12" s="16">
        <v>0</v>
      </c>
    </row>
    <row r="13" spans="1:23" x14ac:dyDescent="0.35">
      <c r="A13" s="35" t="s">
        <v>21</v>
      </c>
      <c r="B13" s="36">
        <f t="shared" si="1"/>
        <v>473</v>
      </c>
      <c r="C13" s="17">
        <f t="shared" si="2"/>
        <v>1259</v>
      </c>
      <c r="D13" s="16">
        <v>276</v>
      </c>
      <c r="E13" s="16">
        <v>123</v>
      </c>
      <c r="F13" s="16">
        <v>24</v>
      </c>
      <c r="G13" s="16">
        <v>50</v>
      </c>
      <c r="H13" s="16">
        <v>0</v>
      </c>
      <c r="I13" s="16">
        <v>0</v>
      </c>
      <c r="J13" s="16">
        <v>0</v>
      </c>
      <c r="K13" s="16">
        <v>751</v>
      </c>
      <c r="L13" s="16">
        <v>343</v>
      </c>
      <c r="M13" s="16">
        <v>55</v>
      </c>
      <c r="N13" s="16">
        <v>110</v>
      </c>
      <c r="O13" s="16">
        <v>0</v>
      </c>
      <c r="P13" s="16">
        <v>0</v>
      </c>
      <c r="Q13" s="16">
        <v>0</v>
      </c>
    </row>
    <row r="14" spans="1:23" x14ac:dyDescent="0.35">
      <c r="A14" s="35" t="s">
        <v>62</v>
      </c>
      <c r="B14" s="36">
        <f t="shared" si="1"/>
        <v>2</v>
      </c>
      <c r="C14" s="17">
        <f t="shared" si="2"/>
        <v>2</v>
      </c>
      <c r="D14" s="16">
        <v>1</v>
      </c>
      <c r="E14" s="16">
        <v>0</v>
      </c>
      <c r="F14" s="16">
        <v>0</v>
      </c>
      <c r="G14" s="16">
        <v>1</v>
      </c>
      <c r="H14" s="16">
        <v>0</v>
      </c>
      <c r="I14" s="16">
        <v>0</v>
      </c>
      <c r="J14" s="16">
        <v>0</v>
      </c>
      <c r="K14" s="16">
        <v>1</v>
      </c>
      <c r="L14" s="16">
        <v>0</v>
      </c>
      <c r="M14" s="16">
        <v>0</v>
      </c>
      <c r="N14" s="16">
        <v>1</v>
      </c>
      <c r="O14" s="16">
        <v>0</v>
      </c>
      <c r="P14" s="16">
        <v>0</v>
      </c>
      <c r="Q14" s="16">
        <v>0</v>
      </c>
    </row>
    <row r="15" spans="1:23" x14ac:dyDescent="0.35">
      <c r="A15" s="35" t="s">
        <v>22</v>
      </c>
      <c r="B15" s="36">
        <f t="shared" si="1"/>
        <v>172</v>
      </c>
      <c r="C15" s="17">
        <f t="shared" si="2"/>
        <v>382</v>
      </c>
      <c r="D15" s="16">
        <v>98</v>
      </c>
      <c r="E15" s="16">
        <v>44</v>
      </c>
      <c r="F15" s="16">
        <v>10</v>
      </c>
      <c r="G15" s="16">
        <v>20</v>
      </c>
      <c r="H15" s="16">
        <v>0</v>
      </c>
      <c r="I15" s="16">
        <v>0</v>
      </c>
      <c r="J15" s="16">
        <v>0</v>
      </c>
      <c r="K15" s="16">
        <v>214</v>
      </c>
      <c r="L15" s="16">
        <v>120</v>
      </c>
      <c r="M15" s="16">
        <v>18</v>
      </c>
      <c r="N15" s="16">
        <v>30</v>
      </c>
      <c r="O15" s="16">
        <v>0</v>
      </c>
      <c r="P15" s="16">
        <v>0</v>
      </c>
      <c r="Q15" s="16">
        <v>0</v>
      </c>
    </row>
    <row r="16" spans="1:23" x14ac:dyDescent="0.35">
      <c r="A16" s="35" t="s">
        <v>23</v>
      </c>
      <c r="B16" s="36">
        <f t="shared" si="1"/>
        <v>130</v>
      </c>
      <c r="C16" s="17">
        <f t="shared" si="2"/>
        <v>363</v>
      </c>
      <c r="D16" s="16">
        <v>61</v>
      </c>
      <c r="E16" s="16">
        <v>41</v>
      </c>
      <c r="F16" s="16">
        <v>14</v>
      </c>
      <c r="G16" s="16">
        <v>14</v>
      </c>
      <c r="H16" s="16">
        <v>0</v>
      </c>
      <c r="I16" s="16">
        <v>0</v>
      </c>
      <c r="J16" s="16">
        <v>0</v>
      </c>
      <c r="K16" s="16">
        <v>175</v>
      </c>
      <c r="L16" s="16">
        <v>117</v>
      </c>
      <c r="M16" s="16">
        <v>26</v>
      </c>
      <c r="N16" s="16">
        <v>45</v>
      </c>
      <c r="O16" s="16">
        <v>0</v>
      </c>
      <c r="P16" s="16">
        <v>0</v>
      </c>
      <c r="Q16" s="16">
        <v>0</v>
      </c>
    </row>
    <row r="17" spans="1:17" x14ac:dyDescent="0.35">
      <c r="A17" s="35" t="s">
        <v>24</v>
      </c>
      <c r="B17" s="36">
        <f t="shared" si="1"/>
        <v>48</v>
      </c>
      <c r="C17" s="17">
        <f t="shared" si="2"/>
        <v>166</v>
      </c>
      <c r="D17" s="16">
        <v>23</v>
      </c>
      <c r="E17" s="16">
        <v>14</v>
      </c>
      <c r="F17" s="16">
        <v>9</v>
      </c>
      <c r="G17" s="16">
        <v>2</v>
      </c>
      <c r="H17" s="16">
        <v>0</v>
      </c>
      <c r="I17" s="16">
        <v>0</v>
      </c>
      <c r="J17" s="16">
        <v>0</v>
      </c>
      <c r="K17" s="16">
        <v>70</v>
      </c>
      <c r="L17" s="16">
        <v>60</v>
      </c>
      <c r="M17" s="16">
        <v>34</v>
      </c>
      <c r="N17" s="16">
        <v>2</v>
      </c>
      <c r="O17" s="16">
        <v>0</v>
      </c>
      <c r="P17" s="16">
        <v>0</v>
      </c>
      <c r="Q17" s="16">
        <v>0</v>
      </c>
    </row>
    <row r="18" spans="1:17" x14ac:dyDescent="0.35">
      <c r="A18" s="35" t="s">
        <v>25</v>
      </c>
      <c r="B18" s="36">
        <f t="shared" si="1"/>
        <v>283</v>
      </c>
      <c r="C18" s="17">
        <f t="shared" si="2"/>
        <v>605</v>
      </c>
      <c r="D18" s="16">
        <v>171</v>
      </c>
      <c r="E18" s="16">
        <v>50</v>
      </c>
      <c r="F18" s="16">
        <v>15</v>
      </c>
      <c r="G18" s="16">
        <v>47</v>
      </c>
      <c r="H18" s="16">
        <v>0</v>
      </c>
      <c r="I18" s="16">
        <v>0</v>
      </c>
      <c r="J18" s="16">
        <v>0</v>
      </c>
      <c r="K18" s="16">
        <v>347</v>
      </c>
      <c r="L18" s="16">
        <v>119</v>
      </c>
      <c r="M18" s="16">
        <v>35</v>
      </c>
      <c r="N18" s="16">
        <v>104</v>
      </c>
      <c r="O18" s="16">
        <v>0</v>
      </c>
      <c r="P18" s="16">
        <v>0</v>
      </c>
      <c r="Q18" s="16">
        <v>0</v>
      </c>
    </row>
    <row r="19" spans="1:17" x14ac:dyDescent="0.35">
      <c r="A19" s="35" t="s">
        <v>26</v>
      </c>
      <c r="B19" s="36">
        <f t="shared" si="1"/>
        <v>1</v>
      </c>
      <c r="C19" s="17">
        <f t="shared" si="2"/>
        <v>1</v>
      </c>
      <c r="D19" s="16">
        <v>0</v>
      </c>
      <c r="E19" s="16">
        <v>0</v>
      </c>
      <c r="F19" s="16">
        <v>0</v>
      </c>
      <c r="G19" s="16">
        <v>1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1</v>
      </c>
      <c r="O19" s="16">
        <v>0</v>
      </c>
      <c r="P19" s="16">
        <v>0</v>
      </c>
      <c r="Q19" s="16">
        <v>0</v>
      </c>
    </row>
    <row r="20" spans="1:17" x14ac:dyDescent="0.35">
      <c r="A20" s="35" t="s">
        <v>27</v>
      </c>
      <c r="B20" s="36">
        <f t="shared" si="1"/>
        <v>89</v>
      </c>
      <c r="C20" s="17">
        <f t="shared" si="2"/>
        <v>173</v>
      </c>
      <c r="D20" s="16">
        <v>37</v>
      </c>
      <c r="E20" s="16">
        <v>28</v>
      </c>
      <c r="F20" s="16">
        <v>6</v>
      </c>
      <c r="G20" s="16">
        <v>18</v>
      </c>
      <c r="H20" s="16">
        <v>0</v>
      </c>
      <c r="I20" s="16">
        <v>0</v>
      </c>
      <c r="J20" s="16">
        <v>0</v>
      </c>
      <c r="K20" s="16">
        <v>70</v>
      </c>
      <c r="L20" s="16">
        <v>58</v>
      </c>
      <c r="M20" s="16">
        <v>12</v>
      </c>
      <c r="N20" s="16">
        <v>33</v>
      </c>
      <c r="O20" s="16">
        <v>0</v>
      </c>
      <c r="P20" s="16">
        <v>0</v>
      </c>
      <c r="Q20" s="16">
        <v>0</v>
      </c>
    </row>
    <row r="21" spans="1:17" x14ac:dyDescent="0.35">
      <c r="A21" s="35" t="s">
        <v>28</v>
      </c>
      <c r="B21" s="36">
        <f t="shared" si="1"/>
        <v>123</v>
      </c>
      <c r="C21" s="17">
        <f t="shared" si="2"/>
        <v>255</v>
      </c>
      <c r="D21" s="16">
        <v>71</v>
      </c>
      <c r="E21" s="16">
        <v>34</v>
      </c>
      <c r="F21" s="16">
        <v>7</v>
      </c>
      <c r="G21" s="16">
        <v>11</v>
      </c>
      <c r="H21" s="16">
        <v>0</v>
      </c>
      <c r="I21" s="16">
        <v>0</v>
      </c>
      <c r="J21" s="16">
        <v>0</v>
      </c>
      <c r="K21" s="16">
        <v>146</v>
      </c>
      <c r="L21" s="16">
        <v>70</v>
      </c>
      <c r="M21" s="16">
        <v>13</v>
      </c>
      <c r="N21" s="16">
        <v>26</v>
      </c>
      <c r="O21" s="16">
        <v>0</v>
      </c>
      <c r="P21" s="16">
        <v>0</v>
      </c>
      <c r="Q21" s="16">
        <v>0</v>
      </c>
    </row>
    <row r="22" spans="1:17" x14ac:dyDescent="0.35">
      <c r="A22" s="35" t="s">
        <v>29</v>
      </c>
      <c r="B22" s="36">
        <f t="shared" si="1"/>
        <v>185</v>
      </c>
      <c r="C22" s="17">
        <f t="shared" si="2"/>
        <v>335</v>
      </c>
      <c r="D22" s="16">
        <v>136</v>
      </c>
      <c r="E22" s="16">
        <v>43</v>
      </c>
      <c r="F22" s="16">
        <v>2</v>
      </c>
      <c r="G22" s="16">
        <v>4</v>
      </c>
      <c r="H22" s="16">
        <v>0</v>
      </c>
      <c r="I22" s="16">
        <v>0</v>
      </c>
      <c r="J22" s="16">
        <v>0</v>
      </c>
      <c r="K22" s="16">
        <v>232</v>
      </c>
      <c r="L22" s="16">
        <v>92</v>
      </c>
      <c r="M22" s="16">
        <v>2</v>
      </c>
      <c r="N22" s="16">
        <v>9</v>
      </c>
      <c r="O22" s="16">
        <v>0</v>
      </c>
      <c r="P22" s="16">
        <v>0</v>
      </c>
      <c r="Q22" s="16">
        <v>0</v>
      </c>
    </row>
    <row r="23" spans="1:17" x14ac:dyDescent="0.35">
      <c r="A23" s="35" t="s">
        <v>30</v>
      </c>
      <c r="B23" s="36">
        <f t="shared" si="1"/>
        <v>167</v>
      </c>
      <c r="C23" s="17">
        <f t="shared" si="2"/>
        <v>339</v>
      </c>
      <c r="D23" s="16">
        <v>114</v>
      </c>
      <c r="E23" s="16">
        <v>38</v>
      </c>
      <c r="F23" s="16">
        <v>4</v>
      </c>
      <c r="G23" s="16">
        <v>11</v>
      </c>
      <c r="H23" s="16">
        <v>0</v>
      </c>
      <c r="I23" s="16">
        <v>0</v>
      </c>
      <c r="J23" s="16">
        <v>0</v>
      </c>
      <c r="K23" s="16">
        <v>243</v>
      </c>
      <c r="L23" s="16">
        <v>68</v>
      </c>
      <c r="M23" s="16">
        <v>6</v>
      </c>
      <c r="N23" s="16">
        <v>22</v>
      </c>
      <c r="O23" s="16">
        <v>0</v>
      </c>
      <c r="P23" s="16">
        <v>0</v>
      </c>
      <c r="Q23" s="16">
        <v>0</v>
      </c>
    </row>
    <row r="24" spans="1:17" x14ac:dyDescent="0.35">
      <c r="A24" s="35" t="s">
        <v>82</v>
      </c>
      <c r="B24" s="36">
        <f t="shared" si="1"/>
        <v>4</v>
      </c>
      <c r="C24" s="17">
        <f t="shared" si="2"/>
        <v>4</v>
      </c>
      <c r="D24" s="16">
        <v>0</v>
      </c>
      <c r="E24" s="16">
        <v>0</v>
      </c>
      <c r="F24" s="16">
        <v>0</v>
      </c>
      <c r="G24" s="16">
        <v>2</v>
      </c>
      <c r="H24" s="16">
        <v>0</v>
      </c>
      <c r="I24" s="16">
        <v>2</v>
      </c>
      <c r="J24" s="16">
        <v>0</v>
      </c>
      <c r="K24" s="16">
        <v>0</v>
      </c>
      <c r="L24" s="16">
        <v>0</v>
      </c>
      <c r="M24" s="16">
        <v>0</v>
      </c>
      <c r="N24" s="16">
        <v>2</v>
      </c>
      <c r="O24" s="16">
        <v>0</v>
      </c>
      <c r="P24" s="16">
        <v>2</v>
      </c>
      <c r="Q24" s="16">
        <v>0</v>
      </c>
    </row>
    <row r="25" spans="1:17" x14ac:dyDescent="0.35">
      <c r="A25" s="35" t="s">
        <v>83</v>
      </c>
      <c r="B25" s="36">
        <f t="shared" si="1"/>
        <v>1</v>
      </c>
      <c r="C25" s="17">
        <f t="shared" si="2"/>
        <v>1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1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1</v>
      </c>
      <c r="Q25" s="16">
        <v>0</v>
      </c>
    </row>
    <row r="26" spans="1:17" x14ac:dyDescent="0.35">
      <c r="A26" s="35" t="s">
        <v>73</v>
      </c>
      <c r="B26" s="36">
        <f t="shared" si="1"/>
        <v>1</v>
      </c>
      <c r="C26" s="17">
        <f t="shared" si="2"/>
        <v>1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1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1</v>
      </c>
      <c r="Q26" s="16">
        <v>0</v>
      </c>
    </row>
    <row r="27" spans="1:17" x14ac:dyDescent="0.35">
      <c r="A27" s="35" t="s">
        <v>65</v>
      </c>
      <c r="B27" s="36">
        <f t="shared" si="1"/>
        <v>3</v>
      </c>
      <c r="C27" s="17">
        <f t="shared" si="2"/>
        <v>3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3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3</v>
      </c>
      <c r="Q27" s="16">
        <v>0</v>
      </c>
    </row>
    <row r="28" spans="1:17" x14ac:dyDescent="0.35">
      <c r="A28" s="35" t="s">
        <v>74</v>
      </c>
      <c r="B28" s="36">
        <f t="shared" si="1"/>
        <v>1</v>
      </c>
      <c r="C28" s="17">
        <f t="shared" si="2"/>
        <v>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1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1</v>
      </c>
      <c r="Q28" s="16">
        <v>0</v>
      </c>
    </row>
    <row r="29" spans="1:17" x14ac:dyDescent="0.35">
      <c r="A29" s="35" t="s">
        <v>75</v>
      </c>
      <c r="B29" s="36">
        <f t="shared" si="1"/>
        <v>1</v>
      </c>
      <c r="C29" s="17">
        <f t="shared" si="2"/>
        <v>1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1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1</v>
      </c>
      <c r="Q29" s="16">
        <v>0</v>
      </c>
    </row>
    <row r="30" spans="1:17" x14ac:dyDescent="0.35">
      <c r="A30" s="35" t="s">
        <v>76</v>
      </c>
      <c r="B30" s="36">
        <f t="shared" si="1"/>
        <v>1</v>
      </c>
      <c r="C30" s="17">
        <f t="shared" si="2"/>
        <v>1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1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1</v>
      </c>
      <c r="Q30" s="16">
        <v>0</v>
      </c>
    </row>
    <row r="31" spans="1:17" x14ac:dyDescent="0.35">
      <c r="A31" s="35" t="s">
        <v>84</v>
      </c>
      <c r="B31" s="36">
        <f t="shared" si="1"/>
        <v>2</v>
      </c>
      <c r="C31" s="17">
        <f t="shared" si="2"/>
        <v>2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2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2</v>
      </c>
      <c r="Q31" s="16">
        <v>0</v>
      </c>
    </row>
    <row r="32" spans="1:17" x14ac:dyDescent="0.35">
      <c r="A32" s="35" t="s">
        <v>66</v>
      </c>
      <c r="B32" s="36">
        <f t="shared" si="1"/>
        <v>2</v>
      </c>
      <c r="C32" s="17">
        <f t="shared" si="2"/>
        <v>2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2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2</v>
      </c>
      <c r="Q32" s="16">
        <v>0</v>
      </c>
    </row>
    <row r="33" spans="1:17" x14ac:dyDescent="0.35">
      <c r="A33" s="35" t="s">
        <v>77</v>
      </c>
      <c r="B33" s="36">
        <f t="shared" si="1"/>
        <v>1</v>
      </c>
      <c r="C33" s="17">
        <f t="shared" si="2"/>
        <v>1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1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1</v>
      </c>
      <c r="Q33" s="16">
        <v>0</v>
      </c>
    </row>
    <row r="34" spans="1:17" x14ac:dyDescent="0.35">
      <c r="A34" s="35" t="s">
        <v>78</v>
      </c>
      <c r="B34" s="36">
        <f t="shared" si="1"/>
        <v>2</v>
      </c>
      <c r="C34" s="17">
        <f t="shared" si="2"/>
        <v>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2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2</v>
      </c>
      <c r="Q34" s="16">
        <v>0</v>
      </c>
    </row>
    <row r="35" spans="1:17" x14ac:dyDescent="0.35">
      <c r="A35" s="35" t="s">
        <v>90</v>
      </c>
      <c r="B35" s="36">
        <f t="shared" si="1"/>
        <v>2</v>
      </c>
      <c r="C35" s="17">
        <f t="shared" si="2"/>
        <v>2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2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2</v>
      </c>
      <c r="Q35" s="16">
        <v>0</v>
      </c>
    </row>
    <row r="36" spans="1:17" x14ac:dyDescent="0.35">
      <c r="A36" s="35" t="s">
        <v>85</v>
      </c>
      <c r="B36" s="36">
        <f t="shared" si="1"/>
        <v>3</v>
      </c>
      <c r="C36" s="17">
        <f t="shared" si="2"/>
        <v>5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3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5</v>
      </c>
      <c r="Q36" s="16">
        <v>0</v>
      </c>
    </row>
    <row r="37" spans="1:17" x14ac:dyDescent="0.35">
      <c r="A37" s="35" t="s">
        <v>31</v>
      </c>
      <c r="B37" s="36">
        <f t="shared" si="1"/>
        <v>35</v>
      </c>
      <c r="C37" s="17">
        <f t="shared" si="2"/>
        <v>74</v>
      </c>
      <c r="D37" s="16">
        <v>16</v>
      </c>
      <c r="E37" s="16">
        <v>13</v>
      </c>
      <c r="F37" s="16">
        <v>3</v>
      </c>
      <c r="G37" s="16">
        <v>3</v>
      </c>
      <c r="H37" s="16">
        <v>0</v>
      </c>
      <c r="I37" s="16">
        <v>0</v>
      </c>
      <c r="J37" s="16">
        <v>0</v>
      </c>
      <c r="K37" s="16">
        <v>40</v>
      </c>
      <c r="L37" s="16">
        <v>23</v>
      </c>
      <c r="M37" s="16">
        <v>6</v>
      </c>
      <c r="N37" s="16">
        <v>5</v>
      </c>
      <c r="O37" s="16">
        <v>0</v>
      </c>
      <c r="P37" s="16">
        <v>0</v>
      </c>
      <c r="Q37" s="16">
        <v>0</v>
      </c>
    </row>
    <row r="38" spans="1:17" x14ac:dyDescent="0.35">
      <c r="A38" s="35" t="s">
        <v>32</v>
      </c>
      <c r="B38" s="36">
        <f t="shared" si="1"/>
        <v>29</v>
      </c>
      <c r="C38" s="17">
        <f t="shared" si="2"/>
        <v>57</v>
      </c>
      <c r="D38" s="16">
        <v>17</v>
      </c>
      <c r="E38" s="16">
        <v>6</v>
      </c>
      <c r="F38" s="16">
        <v>4</v>
      </c>
      <c r="G38" s="16">
        <v>2</v>
      </c>
      <c r="H38" s="16">
        <v>0</v>
      </c>
      <c r="I38" s="16">
        <v>0</v>
      </c>
      <c r="J38" s="16">
        <v>0</v>
      </c>
      <c r="K38" s="16">
        <v>36</v>
      </c>
      <c r="L38" s="16">
        <v>9</v>
      </c>
      <c r="M38" s="16">
        <v>9</v>
      </c>
      <c r="N38" s="16">
        <v>3</v>
      </c>
      <c r="O38" s="16">
        <v>0</v>
      </c>
      <c r="P38" s="16">
        <v>0</v>
      </c>
      <c r="Q38" s="16">
        <v>0</v>
      </c>
    </row>
    <row r="39" spans="1:17" x14ac:dyDescent="0.35">
      <c r="A39" s="35" t="s">
        <v>33</v>
      </c>
      <c r="B39" s="36">
        <f t="shared" si="1"/>
        <v>94</v>
      </c>
      <c r="C39" s="17">
        <f t="shared" si="2"/>
        <v>224</v>
      </c>
      <c r="D39" s="16">
        <v>56</v>
      </c>
      <c r="E39" s="16">
        <v>12</v>
      </c>
      <c r="F39" s="16">
        <v>12</v>
      </c>
      <c r="G39" s="16">
        <v>14</v>
      </c>
      <c r="H39" s="16">
        <v>0</v>
      </c>
      <c r="I39" s="16">
        <v>0</v>
      </c>
      <c r="J39" s="16">
        <v>0</v>
      </c>
      <c r="K39" s="16">
        <v>131</v>
      </c>
      <c r="L39" s="16">
        <v>27</v>
      </c>
      <c r="M39" s="16">
        <v>38</v>
      </c>
      <c r="N39" s="16">
        <v>28</v>
      </c>
      <c r="O39" s="16">
        <v>0</v>
      </c>
      <c r="P39" s="16">
        <v>0</v>
      </c>
      <c r="Q39" s="16">
        <v>0</v>
      </c>
    </row>
    <row r="40" spans="1:17" x14ac:dyDescent="0.35">
      <c r="A40" s="35" t="s">
        <v>34</v>
      </c>
      <c r="B40" s="36">
        <f t="shared" si="1"/>
        <v>1052</v>
      </c>
      <c r="C40" s="17">
        <f t="shared" si="2"/>
        <v>2200</v>
      </c>
      <c r="D40" s="16">
        <v>668</v>
      </c>
      <c r="E40" s="16">
        <v>231</v>
      </c>
      <c r="F40" s="16">
        <v>53</v>
      </c>
      <c r="G40" s="16">
        <v>100</v>
      </c>
      <c r="H40" s="16">
        <v>0</v>
      </c>
      <c r="I40" s="16">
        <v>0</v>
      </c>
      <c r="J40" s="16">
        <v>0</v>
      </c>
      <c r="K40" s="16">
        <v>1417</v>
      </c>
      <c r="L40" s="16">
        <v>477</v>
      </c>
      <c r="M40" s="16">
        <v>94</v>
      </c>
      <c r="N40" s="16">
        <v>212</v>
      </c>
      <c r="O40" s="16">
        <v>0</v>
      </c>
      <c r="P40" s="16">
        <v>0</v>
      </c>
      <c r="Q40" s="16">
        <v>0</v>
      </c>
    </row>
    <row r="41" spans="1:17" x14ac:dyDescent="0.35">
      <c r="A41" s="35" t="s">
        <v>67</v>
      </c>
      <c r="B41" s="36">
        <f t="shared" si="1"/>
        <v>2</v>
      </c>
      <c r="C41" s="17">
        <f t="shared" si="2"/>
        <v>2</v>
      </c>
      <c r="D41" s="16">
        <v>2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2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</row>
    <row r="42" spans="1:17" x14ac:dyDescent="0.35">
      <c r="A42" s="35" t="s">
        <v>35</v>
      </c>
      <c r="B42" s="36">
        <f t="shared" si="1"/>
        <v>404</v>
      </c>
      <c r="C42" s="17">
        <f t="shared" si="2"/>
        <v>681</v>
      </c>
      <c r="D42" s="16">
        <v>189</v>
      </c>
      <c r="E42" s="16">
        <v>116</v>
      </c>
      <c r="F42" s="16">
        <v>27</v>
      </c>
      <c r="G42" s="16">
        <v>72</v>
      </c>
      <c r="H42" s="16">
        <v>0</v>
      </c>
      <c r="I42" s="16">
        <v>0</v>
      </c>
      <c r="J42" s="16">
        <v>0</v>
      </c>
      <c r="K42" s="16">
        <v>312</v>
      </c>
      <c r="L42" s="16">
        <v>213</v>
      </c>
      <c r="M42" s="16">
        <v>47</v>
      </c>
      <c r="N42" s="16">
        <v>109</v>
      </c>
      <c r="O42" s="16">
        <v>0</v>
      </c>
      <c r="P42" s="16">
        <v>0</v>
      </c>
      <c r="Q42" s="16">
        <v>0</v>
      </c>
    </row>
    <row r="43" spans="1:17" x14ac:dyDescent="0.35">
      <c r="A43" s="35" t="s">
        <v>36</v>
      </c>
      <c r="B43" s="36">
        <f t="shared" si="1"/>
        <v>28</v>
      </c>
      <c r="C43" s="36">
        <f t="shared" si="2"/>
        <v>36</v>
      </c>
      <c r="D43" s="35">
        <v>10</v>
      </c>
      <c r="E43" s="35">
        <v>11</v>
      </c>
      <c r="F43" s="35">
        <v>2</v>
      </c>
      <c r="G43" s="16">
        <v>5</v>
      </c>
      <c r="H43" s="16">
        <v>0</v>
      </c>
      <c r="I43" s="16">
        <v>0</v>
      </c>
      <c r="J43" s="16">
        <v>0</v>
      </c>
      <c r="K43" s="16">
        <v>12</v>
      </c>
      <c r="L43" s="16">
        <v>14</v>
      </c>
      <c r="M43" s="16">
        <v>2</v>
      </c>
      <c r="N43" s="16">
        <v>8</v>
      </c>
      <c r="O43" s="16">
        <v>0</v>
      </c>
      <c r="P43" s="16">
        <v>0</v>
      </c>
      <c r="Q43" s="16">
        <v>0</v>
      </c>
    </row>
    <row r="44" spans="1:17" x14ac:dyDescent="0.35">
      <c r="A44" s="35" t="s">
        <v>37</v>
      </c>
      <c r="B44" s="36">
        <f t="shared" si="1"/>
        <v>196</v>
      </c>
      <c r="C44" s="36">
        <f t="shared" si="2"/>
        <v>425</v>
      </c>
      <c r="D44" s="35">
        <v>98</v>
      </c>
      <c r="E44" s="35">
        <v>68</v>
      </c>
      <c r="F44" s="35">
        <v>11</v>
      </c>
      <c r="G44" s="16">
        <v>19</v>
      </c>
      <c r="H44" s="16">
        <v>0</v>
      </c>
      <c r="I44" s="16">
        <v>0</v>
      </c>
      <c r="J44" s="16">
        <v>0</v>
      </c>
      <c r="K44" s="16">
        <v>234</v>
      </c>
      <c r="L44" s="16">
        <v>138</v>
      </c>
      <c r="M44" s="16">
        <v>20</v>
      </c>
      <c r="N44" s="16">
        <v>33</v>
      </c>
      <c r="O44" s="16">
        <v>0</v>
      </c>
      <c r="P44" s="16">
        <v>0</v>
      </c>
      <c r="Q44" s="16">
        <v>0</v>
      </c>
    </row>
    <row r="45" spans="1:17" x14ac:dyDescent="0.35">
      <c r="A45" s="35" t="s">
        <v>38</v>
      </c>
      <c r="B45" s="36">
        <f t="shared" si="1"/>
        <v>140</v>
      </c>
      <c r="C45" s="36">
        <f t="shared" si="2"/>
        <v>413</v>
      </c>
      <c r="D45" s="35">
        <v>77</v>
      </c>
      <c r="E45" s="35">
        <v>32</v>
      </c>
      <c r="F45" s="35">
        <v>9</v>
      </c>
      <c r="G45" s="16">
        <v>22</v>
      </c>
      <c r="H45" s="16">
        <v>0</v>
      </c>
      <c r="I45" s="16">
        <v>0</v>
      </c>
      <c r="J45" s="16">
        <v>0</v>
      </c>
      <c r="K45" s="16">
        <v>222</v>
      </c>
      <c r="L45" s="16">
        <v>88</v>
      </c>
      <c r="M45" s="16">
        <v>22</v>
      </c>
      <c r="N45" s="16">
        <v>81</v>
      </c>
      <c r="O45" s="16">
        <v>0</v>
      </c>
      <c r="P45" s="16">
        <v>0</v>
      </c>
      <c r="Q45" s="16">
        <v>0</v>
      </c>
    </row>
    <row r="46" spans="1:17" x14ac:dyDescent="0.35">
      <c r="A46" s="35" t="s">
        <v>39</v>
      </c>
      <c r="B46" s="36">
        <f t="shared" si="1"/>
        <v>44</v>
      </c>
      <c r="C46" s="36">
        <f t="shared" si="2"/>
        <v>94</v>
      </c>
      <c r="D46" s="35">
        <v>30</v>
      </c>
      <c r="E46" s="35">
        <v>10</v>
      </c>
      <c r="F46" s="35">
        <v>1</v>
      </c>
      <c r="G46" s="16">
        <v>3</v>
      </c>
      <c r="H46" s="16">
        <v>0</v>
      </c>
      <c r="I46" s="16">
        <v>0</v>
      </c>
      <c r="J46" s="16">
        <v>0</v>
      </c>
      <c r="K46" s="16">
        <v>64</v>
      </c>
      <c r="L46" s="16">
        <v>23</v>
      </c>
      <c r="M46" s="16">
        <v>2</v>
      </c>
      <c r="N46" s="16">
        <v>5</v>
      </c>
      <c r="O46" s="16">
        <v>0</v>
      </c>
      <c r="P46" s="16">
        <v>0</v>
      </c>
      <c r="Q46" s="16">
        <v>0</v>
      </c>
    </row>
    <row r="47" spans="1:17" x14ac:dyDescent="0.35">
      <c r="A47" s="35" t="s">
        <v>40</v>
      </c>
      <c r="B47" s="36">
        <f t="shared" si="1"/>
        <v>76</v>
      </c>
      <c r="C47" s="36">
        <f t="shared" si="2"/>
        <v>166</v>
      </c>
      <c r="D47" s="35">
        <v>25</v>
      </c>
      <c r="E47" s="35">
        <v>29</v>
      </c>
      <c r="F47" s="35">
        <v>10</v>
      </c>
      <c r="G47" s="16">
        <v>12</v>
      </c>
      <c r="H47" s="16">
        <v>0</v>
      </c>
      <c r="I47" s="16">
        <v>0</v>
      </c>
      <c r="J47" s="16">
        <v>0</v>
      </c>
      <c r="K47" s="16">
        <v>52</v>
      </c>
      <c r="L47" s="16">
        <v>68</v>
      </c>
      <c r="M47" s="16">
        <v>23</v>
      </c>
      <c r="N47" s="16">
        <v>23</v>
      </c>
      <c r="O47" s="16">
        <v>0</v>
      </c>
      <c r="P47" s="16">
        <v>0</v>
      </c>
      <c r="Q47" s="16">
        <v>0</v>
      </c>
    </row>
    <row r="48" spans="1:17" x14ac:dyDescent="0.35">
      <c r="A48" s="35" t="s">
        <v>41</v>
      </c>
      <c r="B48" s="36">
        <f t="shared" si="1"/>
        <v>22</v>
      </c>
      <c r="C48" s="36">
        <f t="shared" si="2"/>
        <v>43</v>
      </c>
      <c r="D48" s="35">
        <v>8</v>
      </c>
      <c r="E48" s="35">
        <v>11</v>
      </c>
      <c r="F48" s="35">
        <v>2</v>
      </c>
      <c r="G48" s="16">
        <v>1</v>
      </c>
      <c r="H48" s="16">
        <v>0</v>
      </c>
      <c r="I48" s="16">
        <v>0</v>
      </c>
      <c r="J48" s="16">
        <v>0</v>
      </c>
      <c r="K48" s="16">
        <v>15</v>
      </c>
      <c r="L48" s="16">
        <v>23</v>
      </c>
      <c r="M48" s="16">
        <v>4</v>
      </c>
      <c r="N48" s="16">
        <v>1</v>
      </c>
      <c r="O48" s="16">
        <v>0</v>
      </c>
      <c r="P48" s="16">
        <v>0</v>
      </c>
      <c r="Q48" s="16">
        <v>0</v>
      </c>
    </row>
    <row r="49" spans="1:23" x14ac:dyDescent="0.35">
      <c r="A49" s="35" t="s">
        <v>42</v>
      </c>
      <c r="B49" s="36">
        <f t="shared" si="1"/>
        <v>33</v>
      </c>
      <c r="C49" s="36">
        <f t="shared" si="2"/>
        <v>67</v>
      </c>
      <c r="D49" s="35">
        <v>22</v>
      </c>
      <c r="E49" s="35">
        <v>8</v>
      </c>
      <c r="F49" s="35">
        <v>1</v>
      </c>
      <c r="G49" s="16">
        <v>2</v>
      </c>
      <c r="H49" s="16">
        <v>0</v>
      </c>
      <c r="I49" s="16">
        <v>0</v>
      </c>
      <c r="J49" s="16">
        <v>0</v>
      </c>
      <c r="K49" s="16">
        <v>47</v>
      </c>
      <c r="L49" s="16">
        <v>16</v>
      </c>
      <c r="M49" s="16">
        <v>2</v>
      </c>
      <c r="N49" s="16">
        <v>2</v>
      </c>
      <c r="O49" s="16">
        <v>0</v>
      </c>
      <c r="P49" s="16">
        <v>0</v>
      </c>
      <c r="Q49" s="16">
        <v>0</v>
      </c>
    </row>
    <row r="50" spans="1:23" x14ac:dyDescent="0.35">
      <c r="A50" s="37">
        <v>3753</v>
      </c>
      <c r="B50" s="38">
        <f t="shared" ref="B50:Q50" si="3">SUM(B51:B54)</f>
        <v>717</v>
      </c>
      <c r="C50" s="38">
        <f t="shared" si="3"/>
        <v>1329</v>
      </c>
      <c r="D50" s="38">
        <f t="shared" si="3"/>
        <v>398</v>
      </c>
      <c r="E50" s="38">
        <f t="shared" si="3"/>
        <v>160</v>
      </c>
      <c r="F50" s="38">
        <f t="shared" si="3"/>
        <v>50</v>
      </c>
      <c r="G50" s="19">
        <f t="shared" si="3"/>
        <v>109</v>
      </c>
      <c r="H50" s="19">
        <f t="shared" si="3"/>
        <v>0</v>
      </c>
      <c r="I50" s="19">
        <f t="shared" si="3"/>
        <v>0</v>
      </c>
      <c r="J50" s="19">
        <f t="shared" si="3"/>
        <v>0</v>
      </c>
      <c r="K50" s="19">
        <f t="shared" si="3"/>
        <v>726</v>
      </c>
      <c r="L50" s="19">
        <f t="shared" si="3"/>
        <v>298</v>
      </c>
      <c r="M50" s="19">
        <f t="shared" si="3"/>
        <v>102</v>
      </c>
      <c r="N50" s="19">
        <f t="shared" si="3"/>
        <v>203</v>
      </c>
      <c r="O50" s="19">
        <f t="shared" si="3"/>
        <v>0</v>
      </c>
      <c r="P50" s="19">
        <f t="shared" si="3"/>
        <v>0</v>
      </c>
      <c r="Q50" s="19">
        <f t="shared" si="3"/>
        <v>0</v>
      </c>
    </row>
    <row r="51" spans="1:23" x14ac:dyDescent="0.35">
      <c r="A51" s="35" t="s">
        <v>43</v>
      </c>
      <c r="B51" s="39">
        <f>SUM(D51:J51)</f>
        <v>98</v>
      </c>
      <c r="C51" s="39">
        <f>SUM(K51:Q51)</f>
        <v>172</v>
      </c>
      <c r="D51" s="35">
        <v>50</v>
      </c>
      <c r="E51" s="35">
        <v>27</v>
      </c>
      <c r="F51" s="35">
        <v>6</v>
      </c>
      <c r="G51" s="16">
        <v>15</v>
      </c>
      <c r="H51" s="16">
        <v>0</v>
      </c>
      <c r="I51" s="16">
        <v>0</v>
      </c>
      <c r="J51" s="16">
        <v>0</v>
      </c>
      <c r="K51" s="16">
        <v>87</v>
      </c>
      <c r="L51" s="16">
        <v>42</v>
      </c>
      <c r="M51" s="16">
        <v>9</v>
      </c>
      <c r="N51" s="16">
        <v>34</v>
      </c>
      <c r="O51" s="16">
        <v>0</v>
      </c>
      <c r="P51" s="16">
        <v>0</v>
      </c>
      <c r="Q51" s="16">
        <v>0</v>
      </c>
      <c r="R51" s="15"/>
      <c r="S51" s="15"/>
      <c r="T51" s="15"/>
      <c r="U51" s="15"/>
      <c r="V51" s="15"/>
      <c r="W51" s="15"/>
    </row>
    <row r="52" spans="1:23" x14ac:dyDescent="0.35">
      <c r="A52" s="35" t="s">
        <v>44</v>
      </c>
      <c r="B52" s="39">
        <f>SUM(D52:J52)</f>
        <v>68</v>
      </c>
      <c r="C52" s="39">
        <f>SUM(K52:Q52)</f>
        <v>137</v>
      </c>
      <c r="D52" s="35">
        <v>28</v>
      </c>
      <c r="E52" s="35">
        <v>25</v>
      </c>
      <c r="F52" s="35">
        <v>9</v>
      </c>
      <c r="G52" s="16">
        <v>6</v>
      </c>
      <c r="H52" s="16">
        <v>0</v>
      </c>
      <c r="I52" s="16">
        <v>0</v>
      </c>
      <c r="J52" s="16">
        <v>0</v>
      </c>
      <c r="K52" s="16">
        <v>54</v>
      </c>
      <c r="L52" s="16">
        <v>53</v>
      </c>
      <c r="M52" s="16">
        <v>22</v>
      </c>
      <c r="N52" s="16">
        <v>8</v>
      </c>
      <c r="O52" s="16">
        <v>0</v>
      </c>
      <c r="P52" s="16">
        <v>0</v>
      </c>
      <c r="Q52" s="16">
        <v>0</v>
      </c>
    </row>
    <row r="53" spans="1:23" x14ac:dyDescent="0.35">
      <c r="A53" s="35" t="s">
        <v>45</v>
      </c>
      <c r="B53" s="39">
        <f>SUM(D53:J53)</f>
        <v>148</v>
      </c>
      <c r="C53" s="39">
        <f>SUM(K53:Q53)</f>
        <v>315</v>
      </c>
      <c r="D53" s="35">
        <v>85</v>
      </c>
      <c r="E53" s="35">
        <v>36</v>
      </c>
      <c r="F53" s="35">
        <v>10</v>
      </c>
      <c r="G53" s="16">
        <v>17</v>
      </c>
      <c r="H53" s="16">
        <v>0</v>
      </c>
      <c r="I53" s="16">
        <v>0</v>
      </c>
      <c r="J53" s="16">
        <v>0</v>
      </c>
      <c r="K53" s="16">
        <v>166</v>
      </c>
      <c r="L53" s="16">
        <v>81</v>
      </c>
      <c r="M53" s="16">
        <v>24</v>
      </c>
      <c r="N53" s="16">
        <v>44</v>
      </c>
      <c r="O53" s="16">
        <v>0</v>
      </c>
      <c r="P53" s="16">
        <v>0</v>
      </c>
      <c r="Q53" s="16">
        <v>0</v>
      </c>
    </row>
    <row r="54" spans="1:23" x14ac:dyDescent="0.35">
      <c r="A54" s="35" t="s">
        <v>46</v>
      </c>
      <c r="B54" s="39">
        <f>SUM(D54:J54)</f>
        <v>403</v>
      </c>
      <c r="C54" s="39">
        <f>SUM(K54:Q54)</f>
        <v>705</v>
      </c>
      <c r="D54" s="35">
        <v>235</v>
      </c>
      <c r="E54" s="35">
        <v>72</v>
      </c>
      <c r="F54" s="35">
        <v>25</v>
      </c>
      <c r="G54" s="16">
        <v>71</v>
      </c>
      <c r="H54" s="16">
        <v>0</v>
      </c>
      <c r="I54" s="16">
        <v>0</v>
      </c>
      <c r="J54" s="16">
        <v>0</v>
      </c>
      <c r="K54" s="16">
        <v>419</v>
      </c>
      <c r="L54" s="16">
        <v>122</v>
      </c>
      <c r="M54" s="16">
        <v>47</v>
      </c>
      <c r="N54" s="16">
        <v>117</v>
      </c>
      <c r="O54" s="16">
        <v>0</v>
      </c>
      <c r="P54" s="16">
        <v>0</v>
      </c>
      <c r="Q54" s="16">
        <v>0</v>
      </c>
    </row>
    <row r="55" spans="1:23" x14ac:dyDescent="0.35">
      <c r="A55" s="37">
        <v>3754</v>
      </c>
      <c r="B55" s="38">
        <f>SUM(B56:B59)</f>
        <v>213</v>
      </c>
      <c r="C55" s="38">
        <f>SUM(C56:C59)</f>
        <v>427</v>
      </c>
      <c r="D55" s="38">
        <f t="shared" ref="D55:Q55" si="4">SUM(D56:D58)</f>
        <v>123</v>
      </c>
      <c r="E55" s="38">
        <f t="shared" si="4"/>
        <v>47</v>
      </c>
      <c r="F55" s="38">
        <f t="shared" si="4"/>
        <v>9</v>
      </c>
      <c r="G55" s="19">
        <f t="shared" si="4"/>
        <v>33</v>
      </c>
      <c r="H55" s="19">
        <f t="shared" si="4"/>
        <v>0</v>
      </c>
      <c r="I55" s="19">
        <f t="shared" si="4"/>
        <v>0</v>
      </c>
      <c r="J55" s="19">
        <f t="shared" si="4"/>
        <v>0</v>
      </c>
      <c r="K55" s="19">
        <f t="shared" si="4"/>
        <v>233</v>
      </c>
      <c r="L55" s="19">
        <f t="shared" si="4"/>
        <v>116</v>
      </c>
      <c r="M55" s="19">
        <f t="shared" si="4"/>
        <v>20</v>
      </c>
      <c r="N55" s="19">
        <f t="shared" si="4"/>
        <v>57</v>
      </c>
      <c r="O55" s="19">
        <f t="shared" si="4"/>
        <v>0</v>
      </c>
      <c r="P55" s="19">
        <f t="shared" si="4"/>
        <v>0</v>
      </c>
      <c r="Q55" s="19">
        <f t="shared" si="4"/>
        <v>0</v>
      </c>
    </row>
    <row r="56" spans="1:23" x14ac:dyDescent="0.35">
      <c r="A56" s="35" t="s">
        <v>47</v>
      </c>
      <c r="B56" s="39">
        <f>SUM(D56:J56)</f>
        <v>15</v>
      </c>
      <c r="C56" s="39">
        <f>SUM(K56:Q56)</f>
        <v>23</v>
      </c>
      <c r="D56" s="35">
        <v>9</v>
      </c>
      <c r="E56" s="35">
        <v>5</v>
      </c>
      <c r="F56" s="35">
        <v>1</v>
      </c>
      <c r="G56" s="16">
        <v>0</v>
      </c>
      <c r="H56" s="16">
        <v>0</v>
      </c>
      <c r="I56" s="16">
        <v>0</v>
      </c>
      <c r="J56" s="16">
        <v>0</v>
      </c>
      <c r="K56" s="16">
        <v>14</v>
      </c>
      <c r="L56" s="16">
        <v>8</v>
      </c>
      <c r="M56" s="16">
        <v>1</v>
      </c>
      <c r="N56" s="16">
        <v>0</v>
      </c>
      <c r="O56" s="16">
        <v>0</v>
      </c>
      <c r="P56" s="16">
        <v>0</v>
      </c>
      <c r="Q56" s="16">
        <v>0</v>
      </c>
      <c r="R56" s="15"/>
      <c r="S56" s="15"/>
      <c r="T56" s="15"/>
      <c r="U56" s="15"/>
      <c r="V56" s="15"/>
      <c r="W56" s="15"/>
    </row>
    <row r="57" spans="1:23" x14ac:dyDescent="0.35">
      <c r="A57" s="35" t="s">
        <v>48</v>
      </c>
      <c r="B57" s="39">
        <f>SUM(D57:J57)</f>
        <v>153</v>
      </c>
      <c r="C57" s="39">
        <f>SUM(K57:Q57)</f>
        <v>298</v>
      </c>
      <c r="D57" s="35">
        <v>90</v>
      </c>
      <c r="E57" s="35">
        <v>30</v>
      </c>
      <c r="F57" s="35">
        <v>4</v>
      </c>
      <c r="G57" s="16">
        <v>29</v>
      </c>
      <c r="H57" s="16">
        <v>0</v>
      </c>
      <c r="I57" s="16">
        <v>0</v>
      </c>
      <c r="J57" s="16">
        <v>0</v>
      </c>
      <c r="K57" s="16">
        <v>170</v>
      </c>
      <c r="L57" s="16">
        <v>70</v>
      </c>
      <c r="M57" s="16">
        <v>7</v>
      </c>
      <c r="N57" s="16">
        <v>51</v>
      </c>
      <c r="O57" s="16">
        <v>0</v>
      </c>
      <c r="P57" s="16">
        <v>0</v>
      </c>
      <c r="Q57" s="16">
        <v>0</v>
      </c>
    </row>
    <row r="58" spans="1:23" x14ac:dyDescent="0.35">
      <c r="A58" s="35" t="s">
        <v>49</v>
      </c>
      <c r="B58" s="39">
        <f>SUM(D58:J58)</f>
        <v>44</v>
      </c>
      <c r="C58" s="39">
        <f>SUM(K58:Q58)</f>
        <v>105</v>
      </c>
      <c r="D58" s="35">
        <v>24</v>
      </c>
      <c r="E58" s="35">
        <v>12</v>
      </c>
      <c r="F58" s="35">
        <v>4</v>
      </c>
      <c r="G58" s="16">
        <v>4</v>
      </c>
      <c r="H58" s="16">
        <v>0</v>
      </c>
      <c r="I58" s="16">
        <v>0</v>
      </c>
      <c r="J58" s="16">
        <v>0</v>
      </c>
      <c r="K58" s="16">
        <v>49</v>
      </c>
      <c r="L58" s="16">
        <v>38</v>
      </c>
      <c r="M58" s="16">
        <v>12</v>
      </c>
      <c r="N58" s="16">
        <v>6</v>
      </c>
      <c r="O58" s="16">
        <v>0</v>
      </c>
      <c r="P58" s="16">
        <v>0</v>
      </c>
      <c r="Q58" s="16">
        <v>0</v>
      </c>
    </row>
    <row r="59" spans="1:23" x14ac:dyDescent="0.35">
      <c r="A59" s="35" t="s">
        <v>27</v>
      </c>
      <c r="B59" s="39">
        <f>SUM(D59:J59)</f>
        <v>1</v>
      </c>
      <c r="C59" s="39">
        <f>SUM(K59:Q59)</f>
        <v>1</v>
      </c>
      <c r="D59" s="35">
        <v>0</v>
      </c>
      <c r="E59" s="35">
        <v>0</v>
      </c>
      <c r="F59" s="35">
        <v>0</v>
      </c>
      <c r="G59" s="16">
        <v>1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1</v>
      </c>
      <c r="O59" s="16">
        <v>0</v>
      </c>
      <c r="P59" s="16">
        <v>0</v>
      </c>
      <c r="Q59" s="16">
        <v>0</v>
      </c>
    </row>
    <row r="60" spans="1:23" x14ac:dyDescent="0.35">
      <c r="A60" s="37">
        <v>3755</v>
      </c>
      <c r="B60" s="38">
        <f>D60+E60+F60+G60+H60+I60</f>
        <v>123</v>
      </c>
      <c r="C60" s="38">
        <f>K60+L60+M60+N60+O60+P60</f>
        <v>223</v>
      </c>
      <c r="D60" s="40">
        <f t="shared" ref="D60:Q60" si="5">SUM(D61:D62)</f>
        <v>66</v>
      </c>
      <c r="E60" s="40">
        <f t="shared" si="5"/>
        <v>10</v>
      </c>
      <c r="F60" s="40">
        <f t="shared" si="5"/>
        <v>13</v>
      </c>
      <c r="G60" s="32">
        <f t="shared" si="5"/>
        <v>34</v>
      </c>
      <c r="H60" s="32">
        <f t="shared" si="5"/>
        <v>0</v>
      </c>
      <c r="I60" s="32">
        <f t="shared" si="5"/>
        <v>0</v>
      </c>
      <c r="J60" s="32">
        <f t="shared" si="5"/>
        <v>0</v>
      </c>
      <c r="K60" s="32">
        <f t="shared" si="5"/>
        <v>130</v>
      </c>
      <c r="L60" s="32">
        <f t="shared" si="5"/>
        <v>13</v>
      </c>
      <c r="M60" s="32">
        <f t="shared" si="5"/>
        <v>36</v>
      </c>
      <c r="N60" s="32">
        <f t="shared" si="5"/>
        <v>44</v>
      </c>
      <c r="O60" s="32">
        <f t="shared" si="5"/>
        <v>0</v>
      </c>
      <c r="P60" s="32">
        <f t="shared" si="5"/>
        <v>0</v>
      </c>
      <c r="Q60" s="32">
        <f t="shared" si="5"/>
        <v>0</v>
      </c>
    </row>
    <row r="61" spans="1:23" x14ac:dyDescent="0.35">
      <c r="A61" s="35" t="s">
        <v>86</v>
      </c>
      <c r="B61" s="39">
        <f>D61+E61+F61+G61+H61+I61</f>
        <v>39</v>
      </c>
      <c r="C61" s="39">
        <f>K61+L61+M61+N61+O61+P61</f>
        <v>58</v>
      </c>
      <c r="D61" s="35">
        <v>13</v>
      </c>
      <c r="E61" s="35">
        <v>3</v>
      </c>
      <c r="F61" s="35">
        <v>4</v>
      </c>
      <c r="G61" s="16">
        <v>19</v>
      </c>
      <c r="H61" s="16">
        <v>0</v>
      </c>
      <c r="I61" s="16">
        <v>0</v>
      </c>
      <c r="J61" s="16">
        <v>0</v>
      </c>
      <c r="K61" s="16">
        <v>21</v>
      </c>
      <c r="L61" s="16">
        <v>4</v>
      </c>
      <c r="M61" s="16">
        <v>9</v>
      </c>
      <c r="N61" s="16">
        <v>24</v>
      </c>
      <c r="O61" s="16">
        <v>0</v>
      </c>
      <c r="P61" s="16">
        <v>0</v>
      </c>
      <c r="Q61" s="16">
        <v>0</v>
      </c>
    </row>
    <row r="62" spans="1:23" x14ac:dyDescent="0.35">
      <c r="A62" s="35" t="s">
        <v>87</v>
      </c>
      <c r="B62" s="39">
        <f>D62+E62+F62+G62+H62+I62</f>
        <v>84</v>
      </c>
      <c r="C62" s="39">
        <f>K62+L62+M62+N62+O62+P62</f>
        <v>165</v>
      </c>
      <c r="D62" s="35">
        <v>53</v>
      </c>
      <c r="E62" s="35">
        <v>7</v>
      </c>
      <c r="F62" s="35">
        <v>9</v>
      </c>
      <c r="G62" s="16">
        <v>15</v>
      </c>
      <c r="H62" s="16">
        <v>0</v>
      </c>
      <c r="I62" s="16">
        <v>0</v>
      </c>
      <c r="J62" s="16">
        <v>0</v>
      </c>
      <c r="K62" s="16">
        <v>109</v>
      </c>
      <c r="L62" s="16">
        <v>9</v>
      </c>
      <c r="M62" s="16">
        <v>27</v>
      </c>
      <c r="N62" s="16">
        <v>20</v>
      </c>
      <c r="O62" s="16">
        <v>0</v>
      </c>
      <c r="P62" s="16">
        <v>0</v>
      </c>
      <c r="Q62" s="16">
        <v>0</v>
      </c>
    </row>
    <row r="63" spans="1:23" x14ac:dyDescent="0.35">
      <c r="A63" s="41" t="s">
        <v>50</v>
      </c>
      <c r="B63" s="41">
        <f t="shared" ref="B63:I63" si="6">B4+B50+B55+B60</f>
        <v>6231</v>
      </c>
      <c r="C63" s="41">
        <f t="shared" si="6"/>
        <v>13540</v>
      </c>
      <c r="D63" s="41">
        <f t="shared" si="6"/>
        <v>3544</v>
      </c>
      <c r="E63" s="41">
        <f t="shared" si="6"/>
        <v>1505</v>
      </c>
      <c r="F63" s="41">
        <f t="shared" si="6"/>
        <v>381</v>
      </c>
      <c r="G63" s="41">
        <f t="shared" si="6"/>
        <v>778</v>
      </c>
      <c r="H63" s="41">
        <f t="shared" si="6"/>
        <v>0</v>
      </c>
      <c r="I63" s="41">
        <f t="shared" si="6"/>
        <v>22</v>
      </c>
      <c r="J63" s="41"/>
      <c r="K63" s="41">
        <f t="shared" ref="K63:Q63" si="7">K4+K50+K55+K60</f>
        <v>7728</v>
      </c>
      <c r="L63" s="41">
        <f t="shared" si="7"/>
        <v>3451</v>
      </c>
      <c r="M63" s="41">
        <f t="shared" si="7"/>
        <v>804</v>
      </c>
      <c r="N63" s="41">
        <f t="shared" si="7"/>
        <v>1532</v>
      </c>
      <c r="O63" s="41">
        <f t="shared" si="7"/>
        <v>0</v>
      </c>
      <c r="P63" s="41">
        <f t="shared" si="7"/>
        <v>24</v>
      </c>
      <c r="Q63" s="41">
        <f t="shared" si="7"/>
        <v>0</v>
      </c>
    </row>
    <row r="65" spans="1:13" ht="20" x14ac:dyDescent="0.35">
      <c r="A65" s="3" t="s">
        <v>51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35">
      <c r="A66" s="2" t="s">
        <v>52</v>
      </c>
      <c r="B66" s="1" t="s">
        <v>8</v>
      </c>
      <c r="C66" s="1"/>
      <c r="D66" s="1" t="s">
        <v>9</v>
      </c>
      <c r="E66" s="1"/>
      <c r="F66" s="1" t="s">
        <v>10</v>
      </c>
      <c r="G66" s="1"/>
      <c r="H66" s="1" t="s">
        <v>11</v>
      </c>
      <c r="I66" s="1"/>
      <c r="J66" s="1" t="s">
        <v>68</v>
      </c>
      <c r="K66" s="1"/>
      <c r="L66" s="1" t="s">
        <v>53</v>
      </c>
      <c r="M66" s="1" t="s">
        <v>54</v>
      </c>
    </row>
    <row r="67" spans="1:13" x14ac:dyDescent="0.35">
      <c r="A67" s="2"/>
      <c r="B67" s="25" t="s">
        <v>55</v>
      </c>
      <c r="C67" s="25" t="s">
        <v>7</v>
      </c>
      <c r="D67" s="25" t="s">
        <v>55</v>
      </c>
      <c r="E67" s="25" t="s">
        <v>7</v>
      </c>
      <c r="F67" s="25" t="s">
        <v>55</v>
      </c>
      <c r="G67" s="25" t="s">
        <v>7</v>
      </c>
      <c r="H67" s="25" t="s">
        <v>55</v>
      </c>
      <c r="I67" s="25" t="s">
        <v>7</v>
      </c>
      <c r="J67" s="25" t="s">
        <v>55</v>
      </c>
      <c r="K67" s="25" t="s">
        <v>7</v>
      </c>
      <c r="L67" s="1" t="s">
        <v>53</v>
      </c>
      <c r="M67" s="1" t="s">
        <v>56</v>
      </c>
    </row>
    <row r="68" spans="1:13" x14ac:dyDescent="0.35">
      <c r="A68" s="42" t="s">
        <v>80</v>
      </c>
      <c r="B68" s="42">
        <v>0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3</v>
      </c>
      <c r="K68" s="42">
        <v>5</v>
      </c>
      <c r="L68" s="33">
        <f t="shared" ref="L68:M71" si="8">SUM(B68+D68+F68+H68+J68)</f>
        <v>3</v>
      </c>
      <c r="M68" s="33">
        <f t="shared" si="8"/>
        <v>5</v>
      </c>
    </row>
    <row r="69" spans="1:13" x14ac:dyDescent="0.35">
      <c r="A69" s="42" t="s">
        <v>57</v>
      </c>
      <c r="B69" s="42">
        <v>2785</v>
      </c>
      <c r="C69" s="42">
        <v>7025</v>
      </c>
      <c r="D69" s="42">
        <v>1195</v>
      </c>
      <c r="E69" s="42">
        <v>3191</v>
      </c>
      <c r="F69" s="42">
        <v>304</v>
      </c>
      <c r="G69" s="42">
        <v>742</v>
      </c>
      <c r="H69" s="42">
        <v>678</v>
      </c>
      <c r="I69" s="42">
        <v>1469</v>
      </c>
      <c r="J69" s="42">
        <v>0</v>
      </c>
      <c r="K69" s="42">
        <v>0</v>
      </c>
      <c r="L69" s="33">
        <f t="shared" si="8"/>
        <v>4962</v>
      </c>
      <c r="M69" s="33">
        <f t="shared" si="8"/>
        <v>12427</v>
      </c>
    </row>
    <row r="70" spans="1:13" x14ac:dyDescent="0.35">
      <c r="A70" s="42" t="s">
        <v>69</v>
      </c>
      <c r="B70" s="42">
        <v>0</v>
      </c>
      <c r="C70" s="42"/>
      <c r="D70" s="42">
        <v>0</v>
      </c>
      <c r="E70" s="42">
        <v>0</v>
      </c>
      <c r="F70" s="42">
        <v>0</v>
      </c>
      <c r="G70" s="42">
        <v>0</v>
      </c>
      <c r="H70" s="42">
        <v>2</v>
      </c>
      <c r="I70" s="42">
        <v>2</v>
      </c>
      <c r="J70" s="42">
        <v>7</v>
      </c>
      <c r="K70" s="42">
        <v>19</v>
      </c>
      <c r="L70" s="33">
        <f t="shared" si="8"/>
        <v>9</v>
      </c>
      <c r="M70" s="33">
        <f t="shared" si="8"/>
        <v>21</v>
      </c>
    </row>
    <row r="71" spans="1:13" x14ac:dyDescent="0.35">
      <c r="A71" s="42" t="s">
        <v>58</v>
      </c>
      <c r="B71" s="42">
        <v>280</v>
      </c>
      <c r="C71" s="42">
        <v>720</v>
      </c>
      <c r="D71" s="42">
        <v>89</v>
      </c>
      <c r="E71" s="42">
        <v>234</v>
      </c>
      <c r="F71" s="42">
        <v>14</v>
      </c>
      <c r="G71" s="42">
        <v>28</v>
      </c>
      <c r="H71" s="42">
        <v>32</v>
      </c>
      <c r="I71" s="42">
        <v>105</v>
      </c>
      <c r="J71" s="42">
        <v>0</v>
      </c>
      <c r="K71" s="42">
        <v>0</v>
      </c>
      <c r="L71" s="33">
        <f t="shared" si="8"/>
        <v>415</v>
      </c>
      <c r="M71" s="33">
        <f t="shared" si="8"/>
        <v>1087</v>
      </c>
    </row>
    <row r="72" spans="1:13" x14ac:dyDescent="0.35">
      <c r="A72" s="27" t="s">
        <v>59</v>
      </c>
      <c r="B72" s="28">
        <f t="shared" ref="B72:M72" si="9">SUM(B68:B71)</f>
        <v>3065</v>
      </c>
      <c r="C72" s="28">
        <f t="shared" si="9"/>
        <v>7745</v>
      </c>
      <c r="D72" s="28">
        <f t="shared" si="9"/>
        <v>1284</v>
      </c>
      <c r="E72" s="28">
        <f t="shared" si="9"/>
        <v>3425</v>
      </c>
      <c r="F72" s="28">
        <f t="shared" si="9"/>
        <v>318</v>
      </c>
      <c r="G72" s="28">
        <f t="shared" si="9"/>
        <v>770</v>
      </c>
      <c r="H72" s="28">
        <f t="shared" si="9"/>
        <v>712</v>
      </c>
      <c r="I72" s="28">
        <f t="shared" si="9"/>
        <v>1576</v>
      </c>
      <c r="J72" s="28">
        <f t="shared" si="9"/>
        <v>10</v>
      </c>
      <c r="K72" s="28">
        <f t="shared" si="9"/>
        <v>24</v>
      </c>
      <c r="L72" s="28">
        <f t="shared" si="9"/>
        <v>5389</v>
      </c>
      <c r="M72" s="28">
        <f t="shared" si="9"/>
        <v>13540</v>
      </c>
    </row>
  </sheetData>
  <mergeCells count="13">
    <mergeCell ref="J66:K66"/>
    <mergeCell ref="L66:L67"/>
    <mergeCell ref="M66:M67"/>
    <mergeCell ref="A66:A67"/>
    <mergeCell ref="B66:C66"/>
    <mergeCell ref="D66:E66"/>
    <mergeCell ref="F66:G66"/>
    <mergeCell ref="H66:I66"/>
    <mergeCell ref="A1:O1"/>
    <mergeCell ref="B2:C2"/>
    <mergeCell ref="D2:J2"/>
    <mergeCell ref="K2:O2"/>
    <mergeCell ref="A65:M65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9"/>
  <sheetViews>
    <sheetView zoomScale="80" zoomScaleNormal="80" workbookViewId="0">
      <pane ySplit="3" topLeftCell="A52" activePane="bottomLeft" state="frozen"/>
      <selection pane="bottomLeft" activeCell="D71" sqref="D71"/>
    </sheetView>
  </sheetViews>
  <sheetFormatPr baseColWidth="10" defaultColWidth="15.1796875" defaultRowHeight="14.5" x14ac:dyDescent="0.35"/>
  <cols>
    <col min="1" max="1" width="47.08984375" customWidth="1"/>
    <col min="2" max="2" width="12.81640625" customWidth="1"/>
    <col min="3" max="3" width="6.54296875" customWidth="1"/>
    <col min="4" max="4" width="12.26953125" customWidth="1"/>
    <col min="5" max="5" width="10.26953125" customWidth="1"/>
    <col min="6" max="6" width="11" customWidth="1"/>
    <col min="7" max="7" width="8.453125" customWidth="1"/>
    <col min="8" max="9" width="6.90625" customWidth="1"/>
    <col min="10" max="11" width="7.08984375" customWidth="1"/>
    <col min="12" max="12" width="11.54296875" customWidth="1"/>
    <col min="13" max="13" width="15.36328125" customWidth="1"/>
    <col min="14" max="15" width="12.453125" customWidth="1"/>
  </cols>
  <sheetData>
    <row r="1" spans="1:23" ht="26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  <c r="Q1" s="7"/>
    </row>
    <row r="2" spans="1:23" ht="29.9" customHeight="1" x14ac:dyDescent="0.35">
      <c r="A2" s="8" t="s">
        <v>1</v>
      </c>
      <c r="B2" s="5" t="s">
        <v>94</v>
      </c>
      <c r="C2" s="5"/>
      <c r="D2" s="4" t="s">
        <v>3</v>
      </c>
      <c r="E2" s="4"/>
      <c r="F2" s="4"/>
      <c r="G2" s="4"/>
      <c r="H2" s="4"/>
      <c r="I2" s="4"/>
      <c r="J2" s="4"/>
      <c r="K2" s="4" t="s">
        <v>4</v>
      </c>
      <c r="L2" s="4"/>
      <c r="M2" s="4"/>
      <c r="N2" s="4"/>
      <c r="O2" s="4"/>
      <c r="P2" s="9"/>
      <c r="Q2" s="9"/>
    </row>
    <row r="3" spans="1:23" x14ac:dyDescent="0.35">
      <c r="A3" s="10" t="s">
        <v>5</v>
      </c>
      <c r="B3" s="11" t="s">
        <v>6</v>
      </c>
      <c r="C3" s="12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13" t="s">
        <v>71</v>
      </c>
      <c r="I3" s="13" t="s">
        <v>12</v>
      </c>
      <c r="J3" s="13" t="s">
        <v>92</v>
      </c>
      <c r="K3" s="13" t="s">
        <v>8</v>
      </c>
      <c r="L3" s="13" t="s">
        <v>9</v>
      </c>
      <c r="M3" s="13" t="s">
        <v>10</v>
      </c>
      <c r="N3" s="13" t="s">
        <v>11</v>
      </c>
      <c r="O3" s="13" t="s">
        <v>71</v>
      </c>
      <c r="P3" s="13" t="s">
        <v>12</v>
      </c>
      <c r="Q3" s="13" t="s">
        <v>92</v>
      </c>
    </row>
    <row r="4" spans="1:23" x14ac:dyDescent="0.35">
      <c r="A4" s="14">
        <v>3734</v>
      </c>
      <c r="B4" s="14">
        <f t="shared" ref="B4:Q4" si="0">SUM(B5:B42)</f>
        <v>5506</v>
      </c>
      <c r="C4" s="14">
        <f t="shared" si="0"/>
        <v>12462</v>
      </c>
      <c r="D4" s="14">
        <f t="shared" si="0"/>
        <v>3131</v>
      </c>
      <c r="E4" s="14">
        <f t="shared" si="0"/>
        <v>1439</v>
      </c>
      <c r="F4" s="14">
        <f t="shared" si="0"/>
        <v>313</v>
      </c>
      <c r="G4" s="14">
        <f t="shared" si="0"/>
        <v>617</v>
      </c>
      <c r="H4" s="14">
        <f t="shared" si="0"/>
        <v>0</v>
      </c>
      <c r="I4" s="14">
        <f t="shared" si="0"/>
        <v>6</v>
      </c>
      <c r="J4" s="14">
        <f t="shared" si="0"/>
        <v>0</v>
      </c>
      <c r="K4" s="14">
        <f t="shared" si="0"/>
        <v>7005</v>
      </c>
      <c r="L4" s="14">
        <f t="shared" si="0"/>
        <v>3459</v>
      </c>
      <c r="M4" s="14">
        <f t="shared" si="0"/>
        <v>704</v>
      </c>
      <c r="N4" s="14">
        <f t="shared" si="0"/>
        <v>1285</v>
      </c>
      <c r="O4" s="14">
        <f t="shared" si="0"/>
        <v>0</v>
      </c>
      <c r="P4" s="14">
        <f t="shared" si="0"/>
        <v>9</v>
      </c>
      <c r="Q4" s="14">
        <f t="shared" si="0"/>
        <v>0</v>
      </c>
      <c r="R4" s="15"/>
      <c r="S4" s="15"/>
      <c r="T4" s="15"/>
      <c r="U4" s="15"/>
      <c r="V4" s="15"/>
      <c r="W4" s="15"/>
    </row>
    <row r="5" spans="1:23" x14ac:dyDescent="0.35">
      <c r="A5" s="16" t="s">
        <v>13</v>
      </c>
      <c r="B5" s="36">
        <f t="shared" ref="B5:B42" si="1">SUM(D5:J5)</f>
        <v>10</v>
      </c>
      <c r="C5" s="17">
        <f t="shared" ref="C5:C42" si="2">SUM(K5:Q5)</f>
        <v>16</v>
      </c>
      <c r="D5" s="16">
        <v>5</v>
      </c>
      <c r="E5" s="16">
        <v>3</v>
      </c>
      <c r="F5" s="16">
        <v>0</v>
      </c>
      <c r="G5" s="16">
        <v>2</v>
      </c>
      <c r="H5" s="16">
        <v>0</v>
      </c>
      <c r="I5" s="16">
        <v>0</v>
      </c>
      <c r="J5" s="16">
        <v>0</v>
      </c>
      <c r="K5" s="16">
        <v>8</v>
      </c>
      <c r="L5" s="16">
        <v>5</v>
      </c>
      <c r="M5" s="16">
        <v>0</v>
      </c>
      <c r="N5" s="16">
        <v>3</v>
      </c>
      <c r="O5" s="16">
        <v>0</v>
      </c>
      <c r="P5" s="16">
        <v>0</v>
      </c>
      <c r="Q5" s="16">
        <v>0</v>
      </c>
    </row>
    <row r="6" spans="1:23" x14ac:dyDescent="0.35">
      <c r="A6" s="16" t="s">
        <v>14</v>
      </c>
      <c r="B6" s="36">
        <f t="shared" si="1"/>
        <v>170</v>
      </c>
      <c r="C6" s="17">
        <f t="shared" si="2"/>
        <v>252</v>
      </c>
      <c r="D6" s="16">
        <v>90</v>
      </c>
      <c r="E6" s="16">
        <v>45</v>
      </c>
      <c r="F6" s="16">
        <v>16</v>
      </c>
      <c r="G6" s="16">
        <v>19</v>
      </c>
      <c r="H6" s="16">
        <v>0</v>
      </c>
      <c r="I6" s="16">
        <v>0</v>
      </c>
      <c r="J6" s="16">
        <v>0</v>
      </c>
      <c r="K6" s="16">
        <v>138</v>
      </c>
      <c r="L6" s="16">
        <v>65</v>
      </c>
      <c r="M6" s="16">
        <v>22</v>
      </c>
      <c r="N6" s="16">
        <v>27</v>
      </c>
      <c r="O6" s="16">
        <v>0</v>
      </c>
      <c r="P6" s="16">
        <v>0</v>
      </c>
      <c r="Q6" s="16">
        <v>0</v>
      </c>
    </row>
    <row r="7" spans="1:23" x14ac:dyDescent="0.35">
      <c r="A7" s="16" t="s">
        <v>15</v>
      </c>
      <c r="B7" s="36">
        <f t="shared" si="1"/>
        <v>33</v>
      </c>
      <c r="C7" s="17">
        <f t="shared" si="2"/>
        <v>112</v>
      </c>
      <c r="D7" s="16">
        <v>19</v>
      </c>
      <c r="E7" s="16">
        <v>11</v>
      </c>
      <c r="F7" s="16">
        <v>1</v>
      </c>
      <c r="G7" s="16">
        <v>2</v>
      </c>
      <c r="H7" s="16">
        <v>0</v>
      </c>
      <c r="I7" s="16">
        <v>0</v>
      </c>
      <c r="J7" s="16">
        <v>0</v>
      </c>
      <c r="K7" s="16">
        <v>44</v>
      </c>
      <c r="L7" s="16">
        <v>61</v>
      </c>
      <c r="M7" s="16">
        <v>1</v>
      </c>
      <c r="N7" s="16">
        <v>6</v>
      </c>
      <c r="O7" s="16">
        <v>0</v>
      </c>
      <c r="P7" s="16">
        <v>0</v>
      </c>
      <c r="Q7" s="16">
        <v>0</v>
      </c>
    </row>
    <row r="8" spans="1:23" x14ac:dyDescent="0.35">
      <c r="A8" s="16" t="s">
        <v>16</v>
      </c>
      <c r="B8" s="36">
        <f t="shared" si="1"/>
        <v>178</v>
      </c>
      <c r="C8" s="17">
        <f t="shared" si="2"/>
        <v>524</v>
      </c>
      <c r="D8" s="16">
        <v>96</v>
      </c>
      <c r="E8" s="16">
        <v>46</v>
      </c>
      <c r="F8" s="16">
        <v>16</v>
      </c>
      <c r="G8" s="16">
        <v>20</v>
      </c>
      <c r="H8" s="16">
        <v>0</v>
      </c>
      <c r="I8" s="16">
        <v>0</v>
      </c>
      <c r="J8" s="16">
        <v>0</v>
      </c>
      <c r="K8" s="16">
        <v>301</v>
      </c>
      <c r="L8" s="16">
        <v>153</v>
      </c>
      <c r="M8" s="16">
        <v>37</v>
      </c>
      <c r="N8" s="16">
        <v>33</v>
      </c>
      <c r="O8" s="16">
        <v>0</v>
      </c>
      <c r="P8" s="16">
        <v>0</v>
      </c>
      <c r="Q8" s="16">
        <v>0</v>
      </c>
    </row>
    <row r="9" spans="1:23" x14ac:dyDescent="0.35">
      <c r="A9" s="16" t="s">
        <v>17</v>
      </c>
      <c r="B9" s="36">
        <f t="shared" si="1"/>
        <v>68</v>
      </c>
      <c r="C9" s="17">
        <f t="shared" si="2"/>
        <v>201</v>
      </c>
      <c r="D9" s="16">
        <v>27</v>
      </c>
      <c r="E9" s="16">
        <v>24</v>
      </c>
      <c r="F9" s="16">
        <v>14</v>
      </c>
      <c r="G9" s="16">
        <v>3</v>
      </c>
      <c r="H9" s="16">
        <v>0</v>
      </c>
      <c r="I9" s="16">
        <v>0</v>
      </c>
      <c r="J9" s="16">
        <v>0</v>
      </c>
      <c r="K9" s="16">
        <v>102</v>
      </c>
      <c r="L9" s="16">
        <v>59</v>
      </c>
      <c r="M9" s="16">
        <v>36</v>
      </c>
      <c r="N9" s="16">
        <v>4</v>
      </c>
      <c r="O9" s="16">
        <v>0</v>
      </c>
      <c r="P9" s="16">
        <v>0</v>
      </c>
      <c r="Q9" s="16">
        <v>0</v>
      </c>
    </row>
    <row r="10" spans="1:23" x14ac:dyDescent="0.35">
      <c r="A10" s="16" t="s">
        <v>18</v>
      </c>
      <c r="B10" s="36">
        <f t="shared" si="1"/>
        <v>856</v>
      </c>
      <c r="C10" s="17">
        <f t="shared" si="2"/>
        <v>2177</v>
      </c>
      <c r="D10" s="16">
        <v>502</v>
      </c>
      <c r="E10" s="16">
        <v>200</v>
      </c>
      <c r="F10" s="16">
        <v>46</v>
      </c>
      <c r="G10" s="16">
        <v>108</v>
      </c>
      <c r="H10" s="16">
        <v>0</v>
      </c>
      <c r="I10" s="16">
        <v>0</v>
      </c>
      <c r="J10" s="16">
        <v>0</v>
      </c>
      <c r="K10" s="16">
        <v>1260</v>
      </c>
      <c r="L10" s="16">
        <v>569</v>
      </c>
      <c r="M10" s="16">
        <v>117</v>
      </c>
      <c r="N10" s="16">
        <v>231</v>
      </c>
      <c r="O10" s="16">
        <v>0</v>
      </c>
      <c r="P10" s="16">
        <v>0</v>
      </c>
      <c r="Q10" s="16">
        <v>0</v>
      </c>
    </row>
    <row r="11" spans="1:23" x14ac:dyDescent="0.35">
      <c r="A11" s="16" t="s">
        <v>19</v>
      </c>
      <c r="B11" s="36">
        <f t="shared" si="1"/>
        <v>5</v>
      </c>
      <c r="C11" s="17">
        <f t="shared" si="2"/>
        <v>6</v>
      </c>
      <c r="D11" s="16">
        <v>1</v>
      </c>
      <c r="E11" s="16">
        <v>1</v>
      </c>
      <c r="F11" s="16">
        <v>0</v>
      </c>
      <c r="G11" s="16">
        <v>3</v>
      </c>
      <c r="H11" s="16">
        <v>0</v>
      </c>
      <c r="I11" s="16">
        <v>0</v>
      </c>
      <c r="J11" s="16">
        <v>0</v>
      </c>
      <c r="K11" s="16">
        <v>1</v>
      </c>
      <c r="L11" s="16">
        <v>1</v>
      </c>
      <c r="M11" s="16">
        <v>0</v>
      </c>
      <c r="N11" s="16">
        <v>4</v>
      </c>
      <c r="O11" s="16">
        <v>0</v>
      </c>
      <c r="P11" s="16">
        <v>0</v>
      </c>
      <c r="Q11" s="16">
        <v>0</v>
      </c>
    </row>
    <row r="12" spans="1:23" x14ac:dyDescent="0.35">
      <c r="A12" s="16" t="s">
        <v>20</v>
      </c>
      <c r="B12" s="36">
        <f t="shared" si="1"/>
        <v>43</v>
      </c>
      <c r="C12" s="17">
        <f t="shared" si="2"/>
        <v>106</v>
      </c>
      <c r="D12" s="16">
        <v>26</v>
      </c>
      <c r="E12" s="16">
        <v>12</v>
      </c>
      <c r="F12" s="16">
        <v>1</v>
      </c>
      <c r="G12" s="16">
        <v>4</v>
      </c>
      <c r="H12" s="16">
        <v>0</v>
      </c>
      <c r="I12" s="16">
        <v>0</v>
      </c>
      <c r="J12" s="16">
        <v>0</v>
      </c>
      <c r="K12" s="16">
        <v>59</v>
      </c>
      <c r="L12" s="16">
        <v>36</v>
      </c>
      <c r="M12" s="16">
        <v>1</v>
      </c>
      <c r="N12" s="16">
        <v>10</v>
      </c>
      <c r="O12" s="16">
        <v>0</v>
      </c>
      <c r="P12" s="16">
        <v>0</v>
      </c>
      <c r="Q12" s="16">
        <v>0</v>
      </c>
    </row>
    <row r="13" spans="1:23" x14ac:dyDescent="0.35">
      <c r="A13" s="16" t="s">
        <v>21</v>
      </c>
      <c r="B13" s="36">
        <f t="shared" si="1"/>
        <v>475</v>
      </c>
      <c r="C13" s="17">
        <f t="shared" si="2"/>
        <v>1313</v>
      </c>
      <c r="D13" s="16">
        <v>279</v>
      </c>
      <c r="E13" s="16">
        <v>122</v>
      </c>
      <c r="F13" s="16">
        <v>27</v>
      </c>
      <c r="G13" s="16">
        <v>47</v>
      </c>
      <c r="H13" s="16">
        <v>0</v>
      </c>
      <c r="I13" s="16">
        <v>0</v>
      </c>
      <c r="J13" s="16">
        <v>0</v>
      </c>
      <c r="K13" s="16">
        <v>766</v>
      </c>
      <c r="L13" s="16">
        <v>370</v>
      </c>
      <c r="M13" s="16">
        <v>66</v>
      </c>
      <c r="N13" s="16">
        <v>111</v>
      </c>
      <c r="O13" s="16">
        <v>0</v>
      </c>
      <c r="P13" s="16">
        <v>0</v>
      </c>
      <c r="Q13" s="16">
        <v>0</v>
      </c>
    </row>
    <row r="14" spans="1:23" x14ac:dyDescent="0.35">
      <c r="A14" s="16" t="s">
        <v>62</v>
      </c>
      <c r="B14" s="36">
        <f t="shared" si="1"/>
        <v>1</v>
      </c>
      <c r="C14" s="17">
        <f t="shared" si="2"/>
        <v>1</v>
      </c>
      <c r="D14" s="16">
        <v>0</v>
      </c>
      <c r="E14" s="16">
        <v>0</v>
      </c>
      <c r="F14" s="16">
        <v>0</v>
      </c>
      <c r="G14" s="16">
        <v>1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1</v>
      </c>
      <c r="O14" s="16">
        <v>0</v>
      </c>
      <c r="P14" s="16">
        <v>0</v>
      </c>
      <c r="Q14" s="16">
        <v>0</v>
      </c>
    </row>
    <row r="15" spans="1:23" x14ac:dyDescent="0.35">
      <c r="A15" s="16" t="s">
        <v>22</v>
      </c>
      <c r="B15" s="36">
        <f t="shared" si="1"/>
        <v>173</v>
      </c>
      <c r="C15" s="17">
        <f t="shared" si="2"/>
        <v>395</v>
      </c>
      <c r="D15" s="16">
        <v>98</v>
      </c>
      <c r="E15" s="16">
        <v>48</v>
      </c>
      <c r="F15" s="16">
        <v>8</v>
      </c>
      <c r="G15" s="16">
        <v>19</v>
      </c>
      <c r="H15" s="16">
        <v>0</v>
      </c>
      <c r="I15" s="16">
        <v>0</v>
      </c>
      <c r="J15" s="16">
        <v>0</v>
      </c>
      <c r="K15" s="16">
        <v>203</v>
      </c>
      <c r="L15" s="16">
        <v>140</v>
      </c>
      <c r="M15" s="16">
        <v>17</v>
      </c>
      <c r="N15" s="16">
        <v>35</v>
      </c>
      <c r="O15" s="16">
        <v>0</v>
      </c>
      <c r="P15" s="16">
        <v>0</v>
      </c>
      <c r="Q15" s="16">
        <v>0</v>
      </c>
    </row>
    <row r="16" spans="1:23" x14ac:dyDescent="0.35">
      <c r="A16" s="16" t="s">
        <v>23</v>
      </c>
      <c r="B16" s="36">
        <f t="shared" si="1"/>
        <v>117</v>
      </c>
      <c r="C16" s="17">
        <f t="shared" si="2"/>
        <v>357</v>
      </c>
      <c r="D16" s="16">
        <v>53</v>
      </c>
      <c r="E16" s="16">
        <v>35</v>
      </c>
      <c r="F16" s="16">
        <v>10</v>
      </c>
      <c r="G16" s="16">
        <v>19</v>
      </c>
      <c r="H16" s="16">
        <v>0</v>
      </c>
      <c r="I16" s="16">
        <v>0</v>
      </c>
      <c r="J16" s="16">
        <v>0</v>
      </c>
      <c r="K16" s="16">
        <v>154</v>
      </c>
      <c r="L16" s="16">
        <v>114</v>
      </c>
      <c r="M16" s="16">
        <v>22</v>
      </c>
      <c r="N16" s="16">
        <v>67</v>
      </c>
      <c r="O16" s="16">
        <v>0</v>
      </c>
      <c r="P16" s="16">
        <v>0</v>
      </c>
      <c r="Q16" s="16">
        <v>0</v>
      </c>
    </row>
    <row r="17" spans="1:17" x14ac:dyDescent="0.35">
      <c r="A17" s="16" t="s">
        <v>24</v>
      </c>
      <c r="B17" s="36">
        <f t="shared" si="1"/>
        <v>49</v>
      </c>
      <c r="C17" s="17">
        <f t="shared" si="2"/>
        <v>161</v>
      </c>
      <c r="D17" s="16">
        <v>23</v>
      </c>
      <c r="E17" s="16">
        <v>16</v>
      </c>
      <c r="F17" s="16">
        <v>8</v>
      </c>
      <c r="G17" s="16">
        <v>2</v>
      </c>
      <c r="H17" s="16">
        <v>0</v>
      </c>
      <c r="I17" s="16">
        <v>0</v>
      </c>
      <c r="J17" s="16">
        <v>0</v>
      </c>
      <c r="K17" s="16">
        <v>70</v>
      </c>
      <c r="L17" s="16">
        <v>54</v>
      </c>
      <c r="M17" s="16">
        <v>33</v>
      </c>
      <c r="N17" s="16">
        <v>4</v>
      </c>
      <c r="O17" s="16">
        <v>0</v>
      </c>
      <c r="P17" s="16">
        <v>0</v>
      </c>
      <c r="Q17" s="16">
        <v>0</v>
      </c>
    </row>
    <row r="18" spans="1:17" x14ac:dyDescent="0.35">
      <c r="A18" s="16" t="s">
        <v>25</v>
      </c>
      <c r="B18" s="36">
        <f t="shared" si="1"/>
        <v>283</v>
      </c>
      <c r="C18" s="17">
        <f t="shared" si="2"/>
        <v>615</v>
      </c>
      <c r="D18" s="16">
        <v>159</v>
      </c>
      <c r="E18" s="16">
        <v>56</v>
      </c>
      <c r="F18" s="16">
        <v>14</v>
      </c>
      <c r="G18" s="16">
        <v>54</v>
      </c>
      <c r="H18" s="16">
        <v>0</v>
      </c>
      <c r="I18" s="16">
        <v>0</v>
      </c>
      <c r="J18" s="16">
        <v>0</v>
      </c>
      <c r="K18" s="16">
        <v>319</v>
      </c>
      <c r="L18" s="16">
        <v>134</v>
      </c>
      <c r="M18" s="16">
        <v>31</v>
      </c>
      <c r="N18" s="16">
        <v>131</v>
      </c>
      <c r="O18" s="16">
        <v>0</v>
      </c>
      <c r="P18" s="16">
        <v>0</v>
      </c>
      <c r="Q18" s="16">
        <v>0</v>
      </c>
    </row>
    <row r="19" spans="1:17" x14ac:dyDescent="0.35">
      <c r="A19" s="16" t="s">
        <v>26</v>
      </c>
      <c r="B19" s="36">
        <f t="shared" si="1"/>
        <v>1</v>
      </c>
      <c r="C19" s="17">
        <f t="shared" si="2"/>
        <v>2</v>
      </c>
      <c r="D19" s="16">
        <v>0</v>
      </c>
      <c r="E19" s="16">
        <v>0</v>
      </c>
      <c r="F19" s="16">
        <v>0</v>
      </c>
      <c r="G19" s="16">
        <v>1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2</v>
      </c>
      <c r="O19" s="16">
        <v>0</v>
      </c>
      <c r="P19" s="16">
        <v>0</v>
      </c>
      <c r="Q19" s="16">
        <v>0</v>
      </c>
    </row>
    <row r="20" spans="1:17" x14ac:dyDescent="0.35">
      <c r="A20" s="16" t="s">
        <v>27</v>
      </c>
      <c r="B20" s="36">
        <f t="shared" si="1"/>
        <v>92</v>
      </c>
      <c r="C20" s="17">
        <f t="shared" si="2"/>
        <v>187</v>
      </c>
      <c r="D20" s="16">
        <v>37</v>
      </c>
      <c r="E20" s="16">
        <v>29</v>
      </c>
      <c r="F20" s="16">
        <v>7</v>
      </c>
      <c r="G20" s="16">
        <v>19</v>
      </c>
      <c r="H20" s="16">
        <v>0</v>
      </c>
      <c r="I20" s="16">
        <v>0</v>
      </c>
      <c r="J20" s="16">
        <v>0</v>
      </c>
      <c r="K20" s="16">
        <v>82</v>
      </c>
      <c r="L20" s="16">
        <v>60</v>
      </c>
      <c r="M20" s="16">
        <v>12</v>
      </c>
      <c r="N20" s="16">
        <v>33</v>
      </c>
      <c r="O20" s="16">
        <v>0</v>
      </c>
      <c r="P20" s="16">
        <v>0</v>
      </c>
      <c r="Q20" s="16">
        <v>0</v>
      </c>
    </row>
    <row r="21" spans="1:17" x14ac:dyDescent="0.35">
      <c r="A21" s="16" t="s">
        <v>28</v>
      </c>
      <c r="B21" s="36">
        <f t="shared" si="1"/>
        <v>127</v>
      </c>
      <c r="C21" s="17">
        <f t="shared" si="2"/>
        <v>275</v>
      </c>
      <c r="D21" s="16">
        <v>75</v>
      </c>
      <c r="E21" s="16">
        <v>34</v>
      </c>
      <c r="F21" s="16">
        <v>8</v>
      </c>
      <c r="G21" s="16">
        <v>10</v>
      </c>
      <c r="H21" s="16">
        <v>0</v>
      </c>
      <c r="I21" s="16">
        <v>0</v>
      </c>
      <c r="J21" s="16">
        <v>0</v>
      </c>
      <c r="K21" s="16">
        <v>142</v>
      </c>
      <c r="L21" s="16">
        <v>91</v>
      </c>
      <c r="M21" s="16">
        <v>19</v>
      </c>
      <c r="N21" s="16">
        <v>23</v>
      </c>
      <c r="O21" s="16">
        <v>0</v>
      </c>
      <c r="P21" s="16">
        <v>0</v>
      </c>
      <c r="Q21" s="16">
        <v>0</v>
      </c>
    </row>
    <row r="22" spans="1:17" x14ac:dyDescent="0.35">
      <c r="A22" s="16" t="s">
        <v>29</v>
      </c>
      <c r="B22" s="36">
        <f t="shared" si="1"/>
        <v>186</v>
      </c>
      <c r="C22" s="17">
        <f t="shared" si="2"/>
        <v>351</v>
      </c>
      <c r="D22" s="16">
        <v>136</v>
      </c>
      <c r="E22" s="16">
        <v>43</v>
      </c>
      <c r="F22" s="16">
        <v>0</v>
      </c>
      <c r="G22" s="16">
        <v>7</v>
      </c>
      <c r="H22" s="16">
        <v>0</v>
      </c>
      <c r="I22" s="16">
        <v>0</v>
      </c>
      <c r="J22" s="16">
        <v>0</v>
      </c>
      <c r="K22" s="16">
        <v>243</v>
      </c>
      <c r="L22" s="16">
        <v>95</v>
      </c>
      <c r="M22" s="16">
        <v>0</v>
      </c>
      <c r="N22" s="16">
        <v>13</v>
      </c>
      <c r="O22" s="16">
        <v>0</v>
      </c>
      <c r="P22" s="16">
        <v>0</v>
      </c>
      <c r="Q22" s="16">
        <v>0</v>
      </c>
    </row>
    <row r="23" spans="1:17" x14ac:dyDescent="0.35">
      <c r="A23" s="16" t="s">
        <v>30</v>
      </c>
      <c r="B23" s="36">
        <f t="shared" si="1"/>
        <v>188</v>
      </c>
      <c r="C23" s="17">
        <f t="shared" si="2"/>
        <v>377</v>
      </c>
      <c r="D23" s="16">
        <v>127</v>
      </c>
      <c r="E23" s="16">
        <v>47</v>
      </c>
      <c r="F23" s="16">
        <v>4</v>
      </c>
      <c r="G23" s="16">
        <v>10</v>
      </c>
      <c r="H23" s="16">
        <v>0</v>
      </c>
      <c r="I23" s="16">
        <v>0</v>
      </c>
      <c r="J23" s="16">
        <v>0</v>
      </c>
      <c r="K23" s="16">
        <v>266</v>
      </c>
      <c r="L23" s="16">
        <v>83</v>
      </c>
      <c r="M23" s="16">
        <v>5</v>
      </c>
      <c r="N23" s="16">
        <v>23</v>
      </c>
      <c r="O23" s="16">
        <v>0</v>
      </c>
      <c r="P23" s="16">
        <v>0</v>
      </c>
      <c r="Q23" s="16">
        <v>0</v>
      </c>
    </row>
    <row r="24" spans="1:17" x14ac:dyDescent="0.35">
      <c r="A24" s="16" t="s">
        <v>76</v>
      </c>
      <c r="B24" s="36">
        <f t="shared" si="1"/>
        <v>2</v>
      </c>
      <c r="C24" s="17">
        <f t="shared" si="2"/>
        <v>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2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2</v>
      </c>
      <c r="Q24" s="16">
        <v>0</v>
      </c>
    </row>
    <row r="25" spans="1:17" x14ac:dyDescent="0.35">
      <c r="A25" s="16" t="s">
        <v>85</v>
      </c>
      <c r="B25" s="36">
        <f t="shared" si="1"/>
        <v>4</v>
      </c>
      <c r="C25" s="17">
        <f t="shared" si="2"/>
        <v>7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4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7</v>
      </c>
      <c r="Q25" s="16">
        <v>0</v>
      </c>
    </row>
    <row r="26" spans="1:17" x14ac:dyDescent="0.35">
      <c r="A26" s="16" t="s">
        <v>31</v>
      </c>
      <c r="B26" s="36">
        <f t="shared" si="1"/>
        <v>35</v>
      </c>
      <c r="C26" s="17">
        <f t="shared" si="2"/>
        <v>71</v>
      </c>
      <c r="D26" s="16">
        <v>16</v>
      </c>
      <c r="E26" s="16">
        <v>14</v>
      </c>
      <c r="F26" s="16">
        <v>2</v>
      </c>
      <c r="G26" s="16">
        <v>3</v>
      </c>
      <c r="H26" s="16">
        <v>0</v>
      </c>
      <c r="I26" s="16">
        <v>0</v>
      </c>
      <c r="J26" s="16">
        <v>0</v>
      </c>
      <c r="K26" s="16">
        <v>32</v>
      </c>
      <c r="L26" s="16">
        <v>30</v>
      </c>
      <c r="M26" s="16">
        <v>4</v>
      </c>
      <c r="N26" s="16">
        <v>5</v>
      </c>
      <c r="O26" s="16">
        <v>0</v>
      </c>
      <c r="P26" s="16">
        <v>0</v>
      </c>
      <c r="Q26" s="16">
        <v>0</v>
      </c>
    </row>
    <row r="27" spans="1:17" x14ac:dyDescent="0.35">
      <c r="A27" s="16" t="s">
        <v>95</v>
      </c>
      <c r="B27" s="36">
        <f t="shared" si="1"/>
        <v>70</v>
      </c>
      <c r="C27" s="17">
        <f t="shared" si="2"/>
        <v>80</v>
      </c>
      <c r="D27" s="16">
        <v>33</v>
      </c>
      <c r="E27" s="16">
        <v>21</v>
      </c>
      <c r="F27" s="16">
        <v>6</v>
      </c>
      <c r="G27" s="16">
        <v>10</v>
      </c>
      <c r="H27" s="16">
        <v>0</v>
      </c>
      <c r="I27" s="16">
        <v>0</v>
      </c>
      <c r="J27" s="16">
        <v>0</v>
      </c>
      <c r="K27" s="16">
        <v>37</v>
      </c>
      <c r="L27" s="16">
        <v>27</v>
      </c>
      <c r="M27" s="16">
        <v>6</v>
      </c>
      <c r="N27" s="16">
        <v>10</v>
      </c>
      <c r="O27" s="16">
        <v>0</v>
      </c>
      <c r="P27" s="16">
        <v>0</v>
      </c>
      <c r="Q27" s="16">
        <v>0</v>
      </c>
    </row>
    <row r="28" spans="1:17" x14ac:dyDescent="0.35">
      <c r="A28" s="16" t="s">
        <v>32</v>
      </c>
      <c r="B28" s="36">
        <f t="shared" si="1"/>
        <v>27</v>
      </c>
      <c r="C28" s="17">
        <f t="shared" si="2"/>
        <v>79</v>
      </c>
      <c r="D28" s="16">
        <v>14</v>
      </c>
      <c r="E28" s="16">
        <v>8</v>
      </c>
      <c r="F28" s="16">
        <v>3</v>
      </c>
      <c r="G28" s="16">
        <v>2</v>
      </c>
      <c r="H28" s="16">
        <v>0</v>
      </c>
      <c r="I28" s="16">
        <v>0</v>
      </c>
      <c r="J28" s="16">
        <v>0</v>
      </c>
      <c r="K28" s="16">
        <v>45</v>
      </c>
      <c r="L28" s="16">
        <v>22</v>
      </c>
      <c r="M28" s="16">
        <v>10</v>
      </c>
      <c r="N28" s="16">
        <v>2</v>
      </c>
      <c r="O28" s="16">
        <v>0</v>
      </c>
      <c r="P28" s="16">
        <v>0</v>
      </c>
      <c r="Q28" s="16">
        <v>0</v>
      </c>
    </row>
    <row r="29" spans="1:17" x14ac:dyDescent="0.35">
      <c r="A29" s="16" t="s">
        <v>33</v>
      </c>
      <c r="B29" s="36">
        <f t="shared" si="1"/>
        <v>85</v>
      </c>
      <c r="C29" s="17">
        <f t="shared" si="2"/>
        <v>194</v>
      </c>
      <c r="D29" s="16">
        <v>45</v>
      </c>
      <c r="E29" s="16">
        <v>16</v>
      </c>
      <c r="F29" s="16">
        <v>12</v>
      </c>
      <c r="G29" s="16">
        <v>12</v>
      </c>
      <c r="H29" s="16">
        <v>0</v>
      </c>
      <c r="I29" s="16">
        <v>0</v>
      </c>
      <c r="J29" s="16">
        <v>0</v>
      </c>
      <c r="K29" s="16">
        <v>114</v>
      </c>
      <c r="L29" s="16">
        <v>26</v>
      </c>
      <c r="M29" s="16">
        <v>36</v>
      </c>
      <c r="N29" s="16">
        <v>18</v>
      </c>
      <c r="O29" s="16">
        <v>0</v>
      </c>
      <c r="P29" s="16">
        <v>0</v>
      </c>
      <c r="Q29" s="16">
        <v>0</v>
      </c>
    </row>
    <row r="30" spans="1:17" x14ac:dyDescent="0.35">
      <c r="A30" s="16" t="s">
        <v>34</v>
      </c>
      <c r="B30" s="36">
        <f t="shared" si="1"/>
        <v>1064</v>
      </c>
      <c r="C30" s="17">
        <f t="shared" si="2"/>
        <v>2365</v>
      </c>
      <c r="D30" s="16">
        <v>681</v>
      </c>
      <c r="E30" s="16">
        <v>236</v>
      </c>
      <c r="F30" s="16">
        <v>46</v>
      </c>
      <c r="G30" s="16">
        <v>101</v>
      </c>
      <c r="H30" s="16">
        <v>0</v>
      </c>
      <c r="I30" s="16">
        <v>0</v>
      </c>
      <c r="J30" s="16">
        <v>0</v>
      </c>
      <c r="K30" s="16">
        <v>1488</v>
      </c>
      <c r="L30" s="16">
        <v>545</v>
      </c>
      <c r="M30" s="16">
        <v>101</v>
      </c>
      <c r="N30" s="16">
        <v>231</v>
      </c>
      <c r="O30" s="16">
        <v>0</v>
      </c>
      <c r="P30" s="16">
        <v>0</v>
      </c>
      <c r="Q30" s="16">
        <v>0</v>
      </c>
    </row>
    <row r="31" spans="1:17" x14ac:dyDescent="0.35">
      <c r="A31" s="16" t="s">
        <v>35</v>
      </c>
      <c r="B31" s="36">
        <f t="shared" si="1"/>
        <v>438</v>
      </c>
      <c r="C31" s="17">
        <f t="shared" si="2"/>
        <v>752</v>
      </c>
      <c r="D31" s="16">
        <v>203</v>
      </c>
      <c r="E31" s="16">
        <v>134</v>
      </c>
      <c r="F31" s="16">
        <v>29</v>
      </c>
      <c r="G31" s="16">
        <v>72</v>
      </c>
      <c r="H31" s="16">
        <v>0</v>
      </c>
      <c r="I31" s="16">
        <v>0</v>
      </c>
      <c r="J31" s="16">
        <v>0</v>
      </c>
      <c r="K31" s="16">
        <v>345</v>
      </c>
      <c r="L31" s="16">
        <v>248</v>
      </c>
      <c r="M31" s="16">
        <v>48</v>
      </c>
      <c r="N31" s="16">
        <v>111</v>
      </c>
      <c r="O31" s="16">
        <v>0</v>
      </c>
      <c r="P31" s="16">
        <v>0</v>
      </c>
      <c r="Q31" s="16">
        <v>0</v>
      </c>
    </row>
    <row r="32" spans="1:17" x14ac:dyDescent="0.35">
      <c r="A32" s="16" t="s">
        <v>36</v>
      </c>
      <c r="B32" s="36">
        <f t="shared" si="1"/>
        <v>21</v>
      </c>
      <c r="C32" s="17">
        <f t="shared" si="2"/>
        <v>23</v>
      </c>
      <c r="D32" s="16">
        <v>10</v>
      </c>
      <c r="E32" s="16">
        <v>8</v>
      </c>
      <c r="F32" s="16">
        <v>1</v>
      </c>
      <c r="G32" s="16">
        <v>2</v>
      </c>
      <c r="H32" s="16">
        <v>0</v>
      </c>
      <c r="I32" s="16">
        <v>0</v>
      </c>
      <c r="J32" s="16">
        <v>0</v>
      </c>
      <c r="K32" s="16">
        <v>10</v>
      </c>
      <c r="L32" s="16">
        <v>9</v>
      </c>
      <c r="M32" s="16">
        <v>2</v>
      </c>
      <c r="N32" s="16">
        <v>2</v>
      </c>
      <c r="O32" s="16">
        <v>0</v>
      </c>
      <c r="P32" s="16">
        <v>0</v>
      </c>
      <c r="Q32" s="16">
        <v>0</v>
      </c>
    </row>
    <row r="33" spans="1:23" x14ac:dyDescent="0.35">
      <c r="A33" s="16" t="s">
        <v>37</v>
      </c>
      <c r="B33" s="36">
        <f t="shared" si="1"/>
        <v>212</v>
      </c>
      <c r="C33" s="17">
        <f t="shared" si="2"/>
        <v>434</v>
      </c>
      <c r="D33" s="16">
        <v>95</v>
      </c>
      <c r="E33" s="16">
        <v>83</v>
      </c>
      <c r="F33" s="16">
        <v>11</v>
      </c>
      <c r="G33" s="16">
        <v>23</v>
      </c>
      <c r="H33" s="16">
        <v>0</v>
      </c>
      <c r="I33" s="16">
        <v>0</v>
      </c>
      <c r="J33" s="16">
        <v>0</v>
      </c>
      <c r="K33" s="16">
        <v>206</v>
      </c>
      <c r="L33" s="16">
        <v>167</v>
      </c>
      <c r="M33" s="16">
        <v>22</v>
      </c>
      <c r="N33" s="16">
        <v>39</v>
      </c>
      <c r="O33" s="16">
        <v>0</v>
      </c>
      <c r="P33" s="16">
        <v>0</v>
      </c>
      <c r="Q33" s="16">
        <v>0</v>
      </c>
    </row>
    <row r="34" spans="1:23" x14ac:dyDescent="0.35">
      <c r="A34" s="16" t="s">
        <v>38</v>
      </c>
      <c r="B34" s="36">
        <f t="shared" si="1"/>
        <v>159</v>
      </c>
      <c r="C34" s="17">
        <f t="shared" si="2"/>
        <v>479</v>
      </c>
      <c r="D34" s="16">
        <v>91</v>
      </c>
      <c r="E34" s="16">
        <v>36</v>
      </c>
      <c r="F34" s="16">
        <v>8</v>
      </c>
      <c r="G34" s="16">
        <v>24</v>
      </c>
      <c r="H34" s="16">
        <v>0</v>
      </c>
      <c r="I34" s="16">
        <v>0</v>
      </c>
      <c r="J34" s="16">
        <v>0</v>
      </c>
      <c r="K34" s="16">
        <v>285</v>
      </c>
      <c r="L34" s="16">
        <v>97</v>
      </c>
      <c r="M34" s="16">
        <v>21</v>
      </c>
      <c r="N34" s="16">
        <v>76</v>
      </c>
      <c r="O34" s="16">
        <v>0</v>
      </c>
      <c r="P34" s="16">
        <v>0</v>
      </c>
      <c r="Q34" s="16">
        <v>0</v>
      </c>
    </row>
    <row r="35" spans="1:23" x14ac:dyDescent="0.35">
      <c r="A35" s="16" t="s">
        <v>96</v>
      </c>
      <c r="B35" s="36">
        <f t="shared" si="1"/>
        <v>36</v>
      </c>
      <c r="C35" s="17">
        <f t="shared" si="2"/>
        <v>36</v>
      </c>
      <c r="D35" s="16">
        <v>20</v>
      </c>
      <c r="E35" s="16">
        <v>16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20</v>
      </c>
      <c r="L35" s="16">
        <v>16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</row>
    <row r="36" spans="1:23" x14ac:dyDescent="0.35">
      <c r="A36" s="16" t="s">
        <v>97</v>
      </c>
      <c r="B36" s="36">
        <f t="shared" si="1"/>
        <v>57</v>
      </c>
      <c r="C36" s="17">
        <f t="shared" si="2"/>
        <v>58</v>
      </c>
      <c r="D36" s="16">
        <v>43</v>
      </c>
      <c r="E36" s="16">
        <v>14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43</v>
      </c>
      <c r="L36" s="16">
        <v>15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</row>
    <row r="37" spans="1:23" x14ac:dyDescent="0.35">
      <c r="A37" s="16" t="s">
        <v>98</v>
      </c>
      <c r="B37" s="36">
        <f t="shared" si="1"/>
        <v>65</v>
      </c>
      <c r="C37" s="17">
        <f t="shared" si="2"/>
        <v>78</v>
      </c>
      <c r="D37" s="16">
        <v>45</v>
      </c>
      <c r="E37" s="16">
        <v>20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52</v>
      </c>
      <c r="L37" s="16">
        <v>26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</row>
    <row r="38" spans="1:23" x14ac:dyDescent="0.35">
      <c r="A38" s="16" t="s">
        <v>39</v>
      </c>
      <c r="B38" s="36">
        <f t="shared" si="1"/>
        <v>44</v>
      </c>
      <c r="C38" s="17">
        <f t="shared" si="2"/>
        <v>87</v>
      </c>
      <c r="D38" s="16">
        <v>28</v>
      </c>
      <c r="E38" s="16">
        <v>13</v>
      </c>
      <c r="F38" s="16">
        <v>0</v>
      </c>
      <c r="G38" s="16">
        <v>3</v>
      </c>
      <c r="H38" s="16">
        <v>0</v>
      </c>
      <c r="I38" s="16">
        <v>0</v>
      </c>
      <c r="J38" s="16">
        <v>0</v>
      </c>
      <c r="K38" s="16">
        <v>55</v>
      </c>
      <c r="L38" s="16">
        <v>28</v>
      </c>
      <c r="M38" s="16">
        <v>0</v>
      </c>
      <c r="N38" s="16">
        <v>4</v>
      </c>
      <c r="O38" s="16">
        <v>0</v>
      </c>
      <c r="P38" s="16">
        <v>0</v>
      </c>
      <c r="Q38" s="16">
        <v>0</v>
      </c>
    </row>
    <row r="39" spans="1:23" x14ac:dyDescent="0.35">
      <c r="A39" s="16" t="s">
        <v>40</v>
      </c>
      <c r="B39" s="36">
        <f t="shared" si="1"/>
        <v>77</v>
      </c>
      <c r="C39" s="17">
        <f t="shared" si="2"/>
        <v>167</v>
      </c>
      <c r="D39" s="16">
        <v>25</v>
      </c>
      <c r="E39" s="16">
        <v>29</v>
      </c>
      <c r="F39" s="16">
        <v>11</v>
      </c>
      <c r="G39" s="16">
        <v>12</v>
      </c>
      <c r="H39" s="16">
        <v>0</v>
      </c>
      <c r="I39" s="16">
        <v>0</v>
      </c>
      <c r="J39" s="16">
        <v>0</v>
      </c>
      <c r="K39" s="16">
        <v>51</v>
      </c>
      <c r="L39" s="16">
        <v>66</v>
      </c>
      <c r="M39" s="16">
        <v>28</v>
      </c>
      <c r="N39" s="16">
        <v>22</v>
      </c>
      <c r="O39" s="16">
        <v>0</v>
      </c>
      <c r="P39" s="16">
        <v>0</v>
      </c>
      <c r="Q39" s="16">
        <v>0</v>
      </c>
    </row>
    <row r="40" spans="1:23" x14ac:dyDescent="0.35">
      <c r="A40" s="16" t="s">
        <v>99</v>
      </c>
      <c r="B40" s="36">
        <f t="shared" si="1"/>
        <v>1</v>
      </c>
      <c r="C40" s="17">
        <f t="shared" si="2"/>
        <v>1</v>
      </c>
      <c r="D40" s="16">
        <v>0</v>
      </c>
      <c r="E40" s="16">
        <v>0</v>
      </c>
      <c r="F40" s="16">
        <v>1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1</v>
      </c>
      <c r="N40" s="16">
        <v>0</v>
      </c>
      <c r="O40" s="16">
        <v>0</v>
      </c>
      <c r="P40" s="16">
        <v>0</v>
      </c>
      <c r="Q40" s="16">
        <v>0</v>
      </c>
    </row>
    <row r="41" spans="1:23" x14ac:dyDescent="0.35">
      <c r="A41" s="16" t="s">
        <v>41</v>
      </c>
      <c r="B41" s="36">
        <f t="shared" si="1"/>
        <v>24</v>
      </c>
      <c r="C41" s="17">
        <f t="shared" si="2"/>
        <v>52</v>
      </c>
      <c r="D41" s="16">
        <v>8</v>
      </c>
      <c r="E41" s="16">
        <v>13</v>
      </c>
      <c r="F41" s="16">
        <v>2</v>
      </c>
      <c r="G41" s="16">
        <v>1</v>
      </c>
      <c r="H41" s="16">
        <v>0</v>
      </c>
      <c r="I41" s="16">
        <v>0</v>
      </c>
      <c r="J41" s="16">
        <v>0</v>
      </c>
      <c r="K41" s="16">
        <v>15</v>
      </c>
      <c r="L41" s="16">
        <v>32</v>
      </c>
      <c r="M41" s="16">
        <v>4</v>
      </c>
      <c r="N41" s="16">
        <v>1</v>
      </c>
      <c r="O41" s="16">
        <v>0</v>
      </c>
      <c r="P41" s="16">
        <v>0</v>
      </c>
      <c r="Q41" s="16">
        <v>0</v>
      </c>
    </row>
    <row r="42" spans="1:23" x14ac:dyDescent="0.35">
      <c r="A42" s="16" t="s">
        <v>42</v>
      </c>
      <c r="B42" s="36">
        <f t="shared" si="1"/>
        <v>30</v>
      </c>
      <c r="C42" s="17">
        <f t="shared" si="2"/>
        <v>69</v>
      </c>
      <c r="D42" s="16">
        <v>21</v>
      </c>
      <c r="E42" s="16">
        <v>6</v>
      </c>
      <c r="F42" s="16">
        <v>1</v>
      </c>
      <c r="G42" s="16">
        <v>2</v>
      </c>
      <c r="H42" s="16">
        <v>0</v>
      </c>
      <c r="I42" s="16">
        <v>0</v>
      </c>
      <c r="J42" s="16">
        <v>0</v>
      </c>
      <c r="K42" s="16">
        <v>49</v>
      </c>
      <c r="L42" s="16">
        <v>15</v>
      </c>
      <c r="M42" s="16">
        <v>2</v>
      </c>
      <c r="N42" s="16">
        <v>3</v>
      </c>
      <c r="O42" s="16">
        <v>0</v>
      </c>
      <c r="P42" s="16">
        <v>0</v>
      </c>
      <c r="Q42" s="16">
        <v>0</v>
      </c>
    </row>
    <row r="43" spans="1:23" x14ac:dyDescent="0.35">
      <c r="A43" s="37">
        <v>3753</v>
      </c>
      <c r="B43" s="38">
        <f t="shared" ref="B43:Q43" si="3">SUM(B44:B48)</f>
        <v>821</v>
      </c>
      <c r="C43" s="38">
        <f t="shared" si="3"/>
        <v>1505</v>
      </c>
      <c r="D43" s="38">
        <f t="shared" si="3"/>
        <v>470</v>
      </c>
      <c r="E43" s="38">
        <f t="shared" si="3"/>
        <v>195</v>
      </c>
      <c r="F43" s="38">
        <f t="shared" si="3"/>
        <v>53</v>
      </c>
      <c r="G43" s="19">
        <f t="shared" si="3"/>
        <v>103</v>
      </c>
      <c r="H43" s="19">
        <f t="shared" si="3"/>
        <v>0</v>
      </c>
      <c r="I43" s="19">
        <f t="shared" si="3"/>
        <v>0</v>
      </c>
      <c r="J43" s="19">
        <f t="shared" si="3"/>
        <v>0</v>
      </c>
      <c r="K43" s="19">
        <f t="shared" si="3"/>
        <v>842</v>
      </c>
      <c r="L43" s="19">
        <f t="shared" si="3"/>
        <v>367</v>
      </c>
      <c r="M43" s="19">
        <f t="shared" si="3"/>
        <v>121</v>
      </c>
      <c r="N43" s="19">
        <f t="shared" si="3"/>
        <v>175</v>
      </c>
      <c r="O43" s="19">
        <f t="shared" si="3"/>
        <v>0</v>
      </c>
      <c r="P43" s="19">
        <f t="shared" si="3"/>
        <v>0</v>
      </c>
      <c r="Q43" s="19">
        <f t="shared" si="3"/>
        <v>0</v>
      </c>
    </row>
    <row r="44" spans="1:23" x14ac:dyDescent="0.35">
      <c r="A44" s="16" t="s">
        <v>43</v>
      </c>
      <c r="B44" s="39">
        <f>SUM(D44:J44)</f>
        <v>98</v>
      </c>
      <c r="C44" s="39">
        <f>SUM(K44:Q44)</f>
        <v>182</v>
      </c>
      <c r="D44" s="16">
        <v>50</v>
      </c>
      <c r="E44" s="16">
        <v>30</v>
      </c>
      <c r="F44" s="16">
        <v>8</v>
      </c>
      <c r="G44" s="16">
        <v>10</v>
      </c>
      <c r="H44" s="16">
        <v>0</v>
      </c>
      <c r="I44" s="16">
        <v>0</v>
      </c>
      <c r="J44" s="16">
        <v>0</v>
      </c>
      <c r="K44" s="16">
        <v>99</v>
      </c>
      <c r="L44" s="16">
        <v>50</v>
      </c>
      <c r="M44" s="16">
        <v>11</v>
      </c>
      <c r="N44" s="16">
        <v>22</v>
      </c>
      <c r="O44" s="16">
        <v>0</v>
      </c>
      <c r="P44" s="16">
        <v>0</v>
      </c>
      <c r="Q44" s="16">
        <v>0</v>
      </c>
      <c r="R44" s="15"/>
      <c r="S44" s="15"/>
      <c r="T44" s="15"/>
      <c r="U44" s="15"/>
      <c r="V44" s="15"/>
      <c r="W44" s="15"/>
    </row>
    <row r="45" spans="1:23" x14ac:dyDescent="0.35">
      <c r="A45" s="16" t="s">
        <v>44</v>
      </c>
      <c r="B45" s="39">
        <f>SUM(D45:J45)</f>
        <v>65</v>
      </c>
      <c r="C45" s="39">
        <f>SUM(K45:Q45)</f>
        <v>143</v>
      </c>
      <c r="D45" s="16">
        <v>25</v>
      </c>
      <c r="E45" s="16">
        <v>27</v>
      </c>
      <c r="F45" s="16">
        <v>9</v>
      </c>
      <c r="G45" s="16">
        <v>4</v>
      </c>
      <c r="H45" s="16">
        <v>0</v>
      </c>
      <c r="I45" s="16">
        <v>0</v>
      </c>
      <c r="J45" s="16">
        <v>0</v>
      </c>
      <c r="K45" s="16">
        <v>51</v>
      </c>
      <c r="L45" s="16">
        <v>61</v>
      </c>
      <c r="M45" s="16">
        <v>24</v>
      </c>
      <c r="N45" s="16">
        <v>7</v>
      </c>
      <c r="O45" s="16">
        <v>0</v>
      </c>
      <c r="P45" s="16">
        <v>0</v>
      </c>
      <c r="Q45" s="16">
        <v>0</v>
      </c>
    </row>
    <row r="46" spans="1:23" x14ac:dyDescent="0.35">
      <c r="A46" s="16" t="s">
        <v>45</v>
      </c>
      <c r="B46" s="39">
        <f>SUM(D46:J46)</f>
        <v>167</v>
      </c>
      <c r="C46" s="39">
        <f>SUM(K46:Q46)</f>
        <v>329</v>
      </c>
      <c r="D46" s="16">
        <v>105</v>
      </c>
      <c r="E46" s="16">
        <v>36</v>
      </c>
      <c r="F46" s="16">
        <v>11</v>
      </c>
      <c r="G46" s="16">
        <v>15</v>
      </c>
      <c r="H46" s="16">
        <v>0</v>
      </c>
      <c r="I46" s="16">
        <v>0</v>
      </c>
      <c r="J46" s="16">
        <v>0</v>
      </c>
      <c r="K46" s="16">
        <v>198</v>
      </c>
      <c r="L46" s="16">
        <v>76</v>
      </c>
      <c r="M46" s="16">
        <v>27</v>
      </c>
      <c r="N46" s="16">
        <v>28</v>
      </c>
      <c r="O46" s="16">
        <v>0</v>
      </c>
      <c r="P46" s="16">
        <v>0</v>
      </c>
      <c r="Q46" s="16">
        <v>0</v>
      </c>
    </row>
    <row r="47" spans="1:23" x14ac:dyDescent="0.35">
      <c r="A47" s="16" t="s">
        <v>100</v>
      </c>
      <c r="B47" s="39">
        <f>SUM(D47:J47)</f>
        <v>76</v>
      </c>
      <c r="C47" s="39">
        <f>SUM(K47:Q47)</f>
        <v>80</v>
      </c>
      <c r="D47" s="16">
        <v>51</v>
      </c>
      <c r="E47" s="16">
        <v>24</v>
      </c>
      <c r="F47" s="16">
        <v>1</v>
      </c>
      <c r="G47" s="16">
        <v>0</v>
      </c>
      <c r="H47" s="16">
        <v>0</v>
      </c>
      <c r="I47" s="16">
        <v>0</v>
      </c>
      <c r="J47" s="16">
        <v>0</v>
      </c>
      <c r="K47" s="16">
        <v>53</v>
      </c>
      <c r="L47" s="16">
        <v>26</v>
      </c>
      <c r="M47" s="16">
        <v>1</v>
      </c>
      <c r="N47" s="16">
        <v>0</v>
      </c>
      <c r="O47" s="16">
        <v>0</v>
      </c>
      <c r="P47" s="16">
        <v>0</v>
      </c>
      <c r="Q47" s="16">
        <v>0</v>
      </c>
    </row>
    <row r="48" spans="1:23" x14ac:dyDescent="0.35">
      <c r="A48" s="16" t="s">
        <v>46</v>
      </c>
      <c r="B48" s="39">
        <f>SUM(D48:J48)</f>
        <v>415</v>
      </c>
      <c r="C48" s="39">
        <f>SUM(K48:Q48)</f>
        <v>771</v>
      </c>
      <c r="D48" s="16">
        <v>239</v>
      </c>
      <c r="E48" s="16">
        <v>78</v>
      </c>
      <c r="F48" s="16">
        <v>24</v>
      </c>
      <c r="G48" s="16">
        <v>74</v>
      </c>
      <c r="H48" s="16">
        <v>0</v>
      </c>
      <c r="I48" s="16">
        <v>0</v>
      </c>
      <c r="J48" s="16">
        <v>0</v>
      </c>
      <c r="K48" s="16">
        <v>441</v>
      </c>
      <c r="L48" s="16">
        <v>154</v>
      </c>
      <c r="M48" s="16">
        <v>58</v>
      </c>
      <c r="N48" s="16">
        <v>118</v>
      </c>
      <c r="O48" s="16">
        <v>0</v>
      </c>
      <c r="P48" s="16">
        <v>0</v>
      </c>
      <c r="Q48" s="16">
        <v>0</v>
      </c>
    </row>
    <row r="49" spans="1:23" x14ac:dyDescent="0.35">
      <c r="A49" s="37">
        <v>3754</v>
      </c>
      <c r="B49" s="38">
        <f>SUM(B50:B54)</f>
        <v>270</v>
      </c>
      <c r="C49" s="38">
        <f>SUM(C50:C54)</f>
        <v>515</v>
      </c>
      <c r="D49" s="38">
        <f t="shared" ref="D49:Q49" si="4">SUM(D50:D52)</f>
        <v>60</v>
      </c>
      <c r="E49" s="38">
        <f t="shared" si="4"/>
        <v>15</v>
      </c>
      <c r="F49" s="38">
        <f t="shared" si="4"/>
        <v>1</v>
      </c>
      <c r="G49" s="19">
        <f t="shared" si="4"/>
        <v>4</v>
      </c>
      <c r="H49" s="19">
        <f t="shared" si="4"/>
        <v>0</v>
      </c>
      <c r="I49" s="19">
        <f t="shared" si="4"/>
        <v>0</v>
      </c>
      <c r="J49" s="19">
        <f t="shared" si="4"/>
        <v>0</v>
      </c>
      <c r="K49" s="19">
        <f t="shared" si="4"/>
        <v>73</v>
      </c>
      <c r="L49" s="19">
        <f t="shared" si="4"/>
        <v>17</v>
      </c>
      <c r="M49" s="19">
        <f t="shared" si="4"/>
        <v>1</v>
      </c>
      <c r="N49" s="19">
        <f t="shared" si="4"/>
        <v>5</v>
      </c>
      <c r="O49" s="19">
        <f t="shared" si="4"/>
        <v>0</v>
      </c>
      <c r="P49" s="19">
        <f t="shared" si="4"/>
        <v>0</v>
      </c>
      <c r="Q49" s="19">
        <f t="shared" si="4"/>
        <v>0</v>
      </c>
    </row>
    <row r="50" spans="1:23" x14ac:dyDescent="0.35">
      <c r="A50" s="16" t="s">
        <v>101</v>
      </c>
      <c r="B50" s="39">
        <f>SUM(D50:J50)</f>
        <v>19</v>
      </c>
      <c r="C50" s="39">
        <f>SUM(K50:Q50)</f>
        <v>29</v>
      </c>
      <c r="D50" s="16">
        <v>13</v>
      </c>
      <c r="E50" s="16">
        <v>4</v>
      </c>
      <c r="F50" s="16">
        <v>0</v>
      </c>
      <c r="G50" s="16">
        <v>2</v>
      </c>
      <c r="H50" s="16">
        <v>0</v>
      </c>
      <c r="I50" s="16">
        <v>0</v>
      </c>
      <c r="J50" s="16">
        <v>0</v>
      </c>
      <c r="K50" s="16">
        <v>21</v>
      </c>
      <c r="L50" s="16">
        <v>5</v>
      </c>
      <c r="M50" s="16">
        <v>0</v>
      </c>
      <c r="N50" s="16">
        <v>3</v>
      </c>
      <c r="O50" s="16">
        <v>0</v>
      </c>
      <c r="P50" s="16">
        <v>0</v>
      </c>
      <c r="Q50" s="16">
        <v>0</v>
      </c>
      <c r="R50" s="15"/>
      <c r="S50" s="15"/>
      <c r="T50" s="15"/>
      <c r="U50" s="15"/>
      <c r="V50" s="15"/>
      <c r="W50" s="15"/>
    </row>
    <row r="51" spans="1:23" x14ac:dyDescent="0.35">
      <c r="A51" s="16" t="s">
        <v>47</v>
      </c>
      <c r="B51" s="39">
        <f>SUM(D51:J51)</f>
        <v>17</v>
      </c>
      <c r="C51" s="39">
        <f>SUM(K51:Q51)</f>
        <v>23</v>
      </c>
      <c r="D51" s="16">
        <v>9</v>
      </c>
      <c r="E51" s="16">
        <v>5</v>
      </c>
      <c r="F51" s="16">
        <v>1</v>
      </c>
      <c r="G51" s="16">
        <v>2</v>
      </c>
      <c r="H51" s="16">
        <v>0</v>
      </c>
      <c r="I51" s="16">
        <v>0</v>
      </c>
      <c r="J51" s="16">
        <v>0</v>
      </c>
      <c r="K51" s="16">
        <v>14</v>
      </c>
      <c r="L51" s="16">
        <v>6</v>
      </c>
      <c r="M51" s="16">
        <v>1</v>
      </c>
      <c r="N51" s="16">
        <v>2</v>
      </c>
      <c r="O51" s="16">
        <v>0</v>
      </c>
      <c r="P51" s="16">
        <v>0</v>
      </c>
      <c r="Q51" s="16">
        <v>0</v>
      </c>
    </row>
    <row r="52" spans="1:23" x14ac:dyDescent="0.35">
      <c r="A52" s="16" t="s">
        <v>102</v>
      </c>
      <c r="B52" s="39">
        <f>SUM(D52:J52)</f>
        <v>44</v>
      </c>
      <c r="C52" s="39">
        <f>SUM(K52:Q52)</f>
        <v>44</v>
      </c>
      <c r="D52" s="16">
        <v>38</v>
      </c>
      <c r="E52" s="16">
        <v>6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38</v>
      </c>
      <c r="L52" s="16">
        <v>6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</row>
    <row r="53" spans="1:23" x14ac:dyDescent="0.35">
      <c r="A53" s="16" t="s">
        <v>48</v>
      </c>
      <c r="B53" s="39">
        <f>SUM(D53:J53)</f>
        <v>147</v>
      </c>
      <c r="C53" s="39">
        <f>SUM(K53:Q53)</f>
        <v>317</v>
      </c>
      <c r="D53" s="16">
        <v>85</v>
      </c>
      <c r="E53" s="16">
        <v>26</v>
      </c>
      <c r="F53" s="16">
        <v>3</v>
      </c>
      <c r="G53" s="16">
        <v>33</v>
      </c>
      <c r="H53" s="16">
        <v>0</v>
      </c>
      <c r="I53" s="16">
        <v>0</v>
      </c>
      <c r="J53" s="16">
        <v>0</v>
      </c>
      <c r="K53" s="16">
        <v>187</v>
      </c>
      <c r="L53" s="16">
        <v>67</v>
      </c>
      <c r="M53" s="16">
        <v>6</v>
      </c>
      <c r="N53" s="16">
        <v>57</v>
      </c>
      <c r="O53" s="16">
        <v>0</v>
      </c>
      <c r="P53" s="16">
        <v>0</v>
      </c>
      <c r="Q53" s="16">
        <v>0</v>
      </c>
    </row>
    <row r="54" spans="1:23" x14ac:dyDescent="0.35">
      <c r="A54" s="16" t="s">
        <v>49</v>
      </c>
      <c r="B54" s="39">
        <f>SUM(D54:J54)</f>
        <v>43</v>
      </c>
      <c r="C54" s="39">
        <f>SUM(K54:Q54)</f>
        <v>102</v>
      </c>
      <c r="D54" s="16">
        <v>26</v>
      </c>
      <c r="E54" s="16">
        <v>11</v>
      </c>
      <c r="F54" s="16">
        <v>2</v>
      </c>
      <c r="G54" s="16">
        <v>4</v>
      </c>
      <c r="H54" s="16">
        <v>0</v>
      </c>
      <c r="I54" s="16">
        <v>0</v>
      </c>
      <c r="J54" s="16">
        <v>0</v>
      </c>
      <c r="K54" s="16">
        <v>53</v>
      </c>
      <c r="L54" s="16">
        <v>35</v>
      </c>
      <c r="M54" s="16">
        <v>8</v>
      </c>
      <c r="N54" s="16">
        <v>6</v>
      </c>
      <c r="O54" s="16">
        <v>0</v>
      </c>
      <c r="P54" s="16">
        <v>0</v>
      </c>
      <c r="Q54" s="16">
        <v>0</v>
      </c>
    </row>
    <row r="55" spans="1:23" x14ac:dyDescent="0.35">
      <c r="A55" s="37">
        <v>3755</v>
      </c>
      <c r="B55" s="38">
        <f>D55+E55+F55+G55+H55+I55</f>
        <v>132</v>
      </c>
      <c r="C55" s="38">
        <f>K55+L55+M55+N55+O55+P55</f>
        <v>259</v>
      </c>
      <c r="D55" s="40">
        <f t="shared" ref="D55:Q55" si="5">SUM(D56:D58)</f>
        <v>62</v>
      </c>
      <c r="E55" s="40">
        <f t="shared" si="5"/>
        <v>22</v>
      </c>
      <c r="F55" s="40">
        <f t="shared" si="5"/>
        <v>16</v>
      </c>
      <c r="G55" s="32">
        <f t="shared" si="5"/>
        <v>32</v>
      </c>
      <c r="H55" s="32">
        <f t="shared" si="5"/>
        <v>0</v>
      </c>
      <c r="I55" s="32">
        <f t="shared" si="5"/>
        <v>0</v>
      </c>
      <c r="J55" s="32">
        <f t="shared" si="5"/>
        <v>0</v>
      </c>
      <c r="K55" s="32">
        <f t="shared" si="5"/>
        <v>123</v>
      </c>
      <c r="L55" s="32">
        <f t="shared" si="5"/>
        <v>31</v>
      </c>
      <c r="M55" s="32">
        <f t="shared" si="5"/>
        <v>57</v>
      </c>
      <c r="N55" s="32">
        <f t="shared" si="5"/>
        <v>48</v>
      </c>
      <c r="O55" s="32">
        <f t="shared" si="5"/>
        <v>0</v>
      </c>
      <c r="P55" s="32">
        <f t="shared" si="5"/>
        <v>0</v>
      </c>
      <c r="Q55" s="32">
        <f t="shared" si="5"/>
        <v>0</v>
      </c>
    </row>
    <row r="56" spans="1:23" x14ac:dyDescent="0.35">
      <c r="A56" s="16" t="s">
        <v>103</v>
      </c>
      <c r="B56" s="39">
        <f>D56+E56+F56+G56+H56+I56</f>
        <v>12</v>
      </c>
      <c r="C56" s="39">
        <f>K56+L56+M56+N56+O56+P56</f>
        <v>27</v>
      </c>
      <c r="D56" s="16">
        <v>5</v>
      </c>
      <c r="E56" s="16">
        <v>3</v>
      </c>
      <c r="F56" s="16">
        <v>3</v>
      </c>
      <c r="G56" s="16">
        <v>1</v>
      </c>
      <c r="H56" s="16">
        <v>0</v>
      </c>
      <c r="I56" s="16">
        <v>0</v>
      </c>
      <c r="J56" s="16">
        <v>0</v>
      </c>
      <c r="K56" s="16">
        <v>10</v>
      </c>
      <c r="L56" s="16">
        <v>6</v>
      </c>
      <c r="M56" s="16">
        <v>10</v>
      </c>
      <c r="N56" s="16">
        <v>1</v>
      </c>
      <c r="O56" s="16">
        <v>0</v>
      </c>
      <c r="P56" s="16">
        <v>0</v>
      </c>
      <c r="Q56" s="16">
        <v>0</v>
      </c>
    </row>
    <row r="57" spans="1:23" x14ac:dyDescent="0.35">
      <c r="A57" s="16" t="s">
        <v>86</v>
      </c>
      <c r="B57" s="39">
        <f>D57+E57+F57+G57+H57+I57</f>
        <v>36</v>
      </c>
      <c r="C57" s="39">
        <f>K57+L57+M57+N57+O57+P57</f>
        <v>58</v>
      </c>
      <c r="D57" s="16">
        <v>13</v>
      </c>
      <c r="E57" s="16">
        <v>5</v>
      </c>
      <c r="F57" s="16">
        <v>4</v>
      </c>
      <c r="G57" s="16">
        <v>14</v>
      </c>
      <c r="H57" s="16">
        <v>0</v>
      </c>
      <c r="I57" s="16">
        <v>0</v>
      </c>
      <c r="J57" s="16">
        <v>0</v>
      </c>
      <c r="K57" s="16">
        <v>20</v>
      </c>
      <c r="L57" s="16">
        <v>6</v>
      </c>
      <c r="M57" s="16">
        <v>15</v>
      </c>
      <c r="N57" s="16">
        <v>17</v>
      </c>
      <c r="O57" s="16">
        <v>0</v>
      </c>
      <c r="P57" s="16">
        <v>0</v>
      </c>
      <c r="Q57" s="16">
        <v>0</v>
      </c>
    </row>
    <row r="58" spans="1:23" x14ac:dyDescent="0.35">
      <c r="A58" s="16" t="s">
        <v>87</v>
      </c>
      <c r="B58" s="39">
        <f>D58+E58+F58+G58+H58+I58</f>
        <v>84</v>
      </c>
      <c r="C58" s="39">
        <f>K58+L58+M58+N58+O58+P58</f>
        <v>174</v>
      </c>
      <c r="D58" s="16">
        <v>44</v>
      </c>
      <c r="E58" s="16">
        <v>14</v>
      </c>
      <c r="F58" s="16">
        <v>9</v>
      </c>
      <c r="G58" s="16">
        <v>17</v>
      </c>
      <c r="H58" s="16">
        <v>0</v>
      </c>
      <c r="I58" s="16">
        <v>0</v>
      </c>
      <c r="J58" s="16">
        <v>0</v>
      </c>
      <c r="K58" s="16">
        <v>93</v>
      </c>
      <c r="L58" s="16">
        <v>19</v>
      </c>
      <c r="M58" s="16">
        <v>32</v>
      </c>
      <c r="N58" s="16">
        <v>30</v>
      </c>
      <c r="O58" s="16">
        <v>0</v>
      </c>
      <c r="P58" s="16">
        <v>0</v>
      </c>
      <c r="Q58" s="16">
        <v>0</v>
      </c>
    </row>
    <row r="59" spans="1:23" x14ac:dyDescent="0.35">
      <c r="A59" s="41" t="s">
        <v>50</v>
      </c>
      <c r="B59" s="41">
        <f t="shared" ref="B59:Q59" si="6">B4+B43+B49+B55</f>
        <v>6729</v>
      </c>
      <c r="C59" s="41">
        <f t="shared" si="6"/>
        <v>14741</v>
      </c>
      <c r="D59" s="41">
        <f t="shared" si="6"/>
        <v>3723</v>
      </c>
      <c r="E59" s="41">
        <f t="shared" si="6"/>
        <v>1671</v>
      </c>
      <c r="F59" s="41">
        <f t="shared" si="6"/>
        <v>383</v>
      </c>
      <c r="G59" s="41">
        <f t="shared" si="6"/>
        <v>756</v>
      </c>
      <c r="H59" s="41">
        <f t="shared" si="6"/>
        <v>0</v>
      </c>
      <c r="I59" s="41">
        <f t="shared" si="6"/>
        <v>6</v>
      </c>
      <c r="J59" s="41">
        <f t="shared" si="6"/>
        <v>0</v>
      </c>
      <c r="K59" s="41">
        <f t="shared" si="6"/>
        <v>8043</v>
      </c>
      <c r="L59" s="41">
        <f t="shared" si="6"/>
        <v>3874</v>
      </c>
      <c r="M59" s="41">
        <f t="shared" si="6"/>
        <v>883</v>
      </c>
      <c r="N59" s="41">
        <f t="shared" si="6"/>
        <v>1513</v>
      </c>
      <c r="O59" s="41">
        <f t="shared" si="6"/>
        <v>0</v>
      </c>
      <c r="P59" s="41">
        <f t="shared" si="6"/>
        <v>9</v>
      </c>
      <c r="Q59" s="41">
        <f t="shared" si="6"/>
        <v>0</v>
      </c>
    </row>
    <row r="61" spans="1:23" ht="20" x14ac:dyDescent="0.35">
      <c r="A61" s="3" t="s">
        <v>51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23" x14ac:dyDescent="0.35">
      <c r="A62" s="2" t="s">
        <v>52</v>
      </c>
      <c r="B62" s="1" t="s">
        <v>8</v>
      </c>
      <c r="C62" s="1"/>
      <c r="D62" s="1" t="s">
        <v>9</v>
      </c>
      <c r="E62" s="1"/>
      <c r="F62" s="1" t="s">
        <v>10</v>
      </c>
      <c r="G62" s="1"/>
      <c r="H62" s="1" t="s">
        <v>11</v>
      </c>
      <c r="I62" s="1"/>
      <c r="J62" s="1" t="s">
        <v>68</v>
      </c>
      <c r="K62" s="1"/>
      <c r="L62" s="1" t="s">
        <v>53</v>
      </c>
      <c r="M62" s="1" t="s">
        <v>54</v>
      </c>
    </row>
    <row r="63" spans="1:23" x14ac:dyDescent="0.35">
      <c r="A63" s="2"/>
      <c r="B63" s="25" t="s">
        <v>55</v>
      </c>
      <c r="C63" s="25" t="s">
        <v>7</v>
      </c>
      <c r="D63" s="25" t="s">
        <v>55</v>
      </c>
      <c r="E63" s="25" t="s">
        <v>7</v>
      </c>
      <c r="F63" s="25" t="s">
        <v>55</v>
      </c>
      <c r="G63" s="25" t="s">
        <v>7</v>
      </c>
      <c r="H63" s="25" t="s">
        <v>55</v>
      </c>
      <c r="I63" s="25" t="s">
        <v>7</v>
      </c>
      <c r="J63" s="25" t="s">
        <v>55</v>
      </c>
      <c r="K63" s="25" t="s">
        <v>7</v>
      </c>
      <c r="L63" s="1" t="s">
        <v>53</v>
      </c>
      <c r="M63" s="1" t="s">
        <v>56</v>
      </c>
    </row>
    <row r="64" spans="1:23" x14ac:dyDescent="0.35">
      <c r="A64" s="30" t="s">
        <v>104</v>
      </c>
      <c r="B64" s="31">
        <v>17</v>
      </c>
      <c r="C64" s="31">
        <v>28</v>
      </c>
      <c r="D64" s="31">
        <v>7</v>
      </c>
      <c r="E64" s="31">
        <v>11</v>
      </c>
      <c r="F64" s="31">
        <v>3</v>
      </c>
      <c r="G64" s="31">
        <v>10</v>
      </c>
      <c r="H64" s="31">
        <v>4</v>
      </c>
      <c r="I64" s="31">
        <v>7</v>
      </c>
      <c r="J64" s="31">
        <v>0</v>
      </c>
      <c r="K64" s="31">
        <v>0</v>
      </c>
      <c r="L64" s="31">
        <v>31</v>
      </c>
      <c r="M64" s="31">
        <v>56</v>
      </c>
    </row>
    <row r="65" spans="1:13" x14ac:dyDescent="0.35">
      <c r="A65" s="30" t="s">
        <v>80</v>
      </c>
      <c r="B65" s="31">
        <v>0</v>
      </c>
      <c r="C65" s="31">
        <v>0</v>
      </c>
      <c r="D65" s="31">
        <v>0</v>
      </c>
      <c r="E65" s="31">
        <v>0</v>
      </c>
      <c r="F65" s="31">
        <v>0</v>
      </c>
      <c r="G65" s="31">
        <v>0</v>
      </c>
      <c r="H65" s="31">
        <v>0</v>
      </c>
      <c r="I65" s="31">
        <v>0</v>
      </c>
      <c r="J65" s="31">
        <v>4</v>
      </c>
      <c r="K65" s="31">
        <v>7</v>
      </c>
      <c r="L65" s="31">
        <v>4</v>
      </c>
      <c r="M65" s="31">
        <v>7</v>
      </c>
    </row>
    <row r="66" spans="1:13" x14ac:dyDescent="0.35">
      <c r="A66" s="30" t="s">
        <v>57</v>
      </c>
      <c r="B66" s="31">
        <v>2842</v>
      </c>
      <c r="C66" s="31">
        <v>7252</v>
      </c>
      <c r="D66" s="31">
        <v>1245</v>
      </c>
      <c r="E66" s="31">
        <v>3625</v>
      </c>
      <c r="F66" s="31">
        <v>323</v>
      </c>
      <c r="G66" s="31">
        <v>850</v>
      </c>
      <c r="H66" s="31">
        <v>666</v>
      </c>
      <c r="I66" s="31">
        <v>1446</v>
      </c>
      <c r="J66" s="31">
        <v>0</v>
      </c>
      <c r="K66" s="31">
        <v>0</v>
      </c>
      <c r="L66" s="31">
        <v>5076</v>
      </c>
      <c r="M66" s="31">
        <v>13173</v>
      </c>
    </row>
    <row r="67" spans="1:13" x14ac:dyDescent="0.35">
      <c r="A67" s="30" t="s">
        <v>69</v>
      </c>
      <c r="B67" s="31">
        <v>0</v>
      </c>
      <c r="C67" s="31">
        <v>0</v>
      </c>
      <c r="D67" s="31">
        <v>0</v>
      </c>
      <c r="E67" s="31">
        <v>0</v>
      </c>
      <c r="F67" s="31">
        <v>0</v>
      </c>
      <c r="G67" s="31">
        <v>0</v>
      </c>
      <c r="H67" s="31">
        <v>0</v>
      </c>
      <c r="I67" s="31">
        <v>0</v>
      </c>
      <c r="J67" s="31">
        <v>2</v>
      </c>
      <c r="K67" s="31">
        <v>2</v>
      </c>
      <c r="L67" s="31">
        <v>2</v>
      </c>
      <c r="M67" s="31">
        <v>2</v>
      </c>
    </row>
    <row r="68" spans="1:13" x14ac:dyDescent="0.35">
      <c r="A68" s="30" t="s">
        <v>58</v>
      </c>
      <c r="B68" s="31">
        <v>486</v>
      </c>
      <c r="C68" s="31">
        <v>1013</v>
      </c>
      <c r="D68" s="31">
        <v>175</v>
      </c>
      <c r="E68" s="31">
        <v>347</v>
      </c>
      <c r="F68" s="31">
        <v>13</v>
      </c>
      <c r="G68" s="31">
        <v>25</v>
      </c>
      <c r="H68" s="31">
        <v>36</v>
      </c>
      <c r="I68" s="31">
        <v>118</v>
      </c>
      <c r="J68" s="31">
        <v>0</v>
      </c>
      <c r="K68" s="31">
        <v>0</v>
      </c>
      <c r="L68" s="31">
        <v>710</v>
      </c>
      <c r="M68" s="31">
        <v>1503</v>
      </c>
    </row>
    <row r="69" spans="1:13" x14ac:dyDescent="0.35">
      <c r="A69" s="27" t="s">
        <v>59</v>
      </c>
      <c r="B69" s="28">
        <f t="shared" ref="B69:M69" si="7">SUM(B64:B68)</f>
        <v>3345</v>
      </c>
      <c r="C69" s="28">
        <f t="shared" si="7"/>
        <v>8293</v>
      </c>
      <c r="D69" s="28">
        <f t="shared" si="7"/>
        <v>1427</v>
      </c>
      <c r="E69" s="28">
        <f t="shared" si="7"/>
        <v>3983</v>
      </c>
      <c r="F69" s="28">
        <f t="shared" si="7"/>
        <v>339</v>
      </c>
      <c r="G69" s="28">
        <f t="shared" si="7"/>
        <v>885</v>
      </c>
      <c r="H69" s="28">
        <f t="shared" si="7"/>
        <v>706</v>
      </c>
      <c r="I69" s="28">
        <f t="shared" si="7"/>
        <v>1571</v>
      </c>
      <c r="J69" s="28">
        <f t="shared" si="7"/>
        <v>6</v>
      </c>
      <c r="K69" s="28">
        <f t="shared" si="7"/>
        <v>9</v>
      </c>
      <c r="L69" s="28">
        <f t="shared" si="7"/>
        <v>5823</v>
      </c>
      <c r="M69" s="28">
        <f t="shared" si="7"/>
        <v>14741</v>
      </c>
    </row>
  </sheetData>
  <mergeCells count="13">
    <mergeCell ref="J62:K62"/>
    <mergeCell ref="L62:L63"/>
    <mergeCell ref="M62:M63"/>
    <mergeCell ref="A62:A63"/>
    <mergeCell ref="B62:C62"/>
    <mergeCell ref="D62:E62"/>
    <mergeCell ref="F62:G62"/>
    <mergeCell ref="H62:I62"/>
    <mergeCell ref="A1:O1"/>
    <mergeCell ref="B2:C2"/>
    <mergeCell ref="D2:J2"/>
    <mergeCell ref="K2:O2"/>
    <mergeCell ref="A61:M61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6"/>
  <sheetViews>
    <sheetView zoomScale="80" zoomScaleNormal="80" workbookViewId="0">
      <pane ySplit="3" topLeftCell="A61" activePane="bottomLeft" state="frozen"/>
      <selection pane="bottomLeft" activeCell="A10" sqref="A10"/>
    </sheetView>
  </sheetViews>
  <sheetFormatPr baseColWidth="10" defaultColWidth="15.1796875" defaultRowHeight="14.5" x14ac:dyDescent="0.35"/>
  <cols>
    <col min="1" max="1" width="47.08984375" customWidth="1"/>
    <col min="2" max="2" width="12.81640625" customWidth="1"/>
    <col min="3" max="3" width="6.54296875" customWidth="1"/>
    <col min="4" max="4" width="12.26953125" customWidth="1"/>
    <col min="5" max="5" width="10.26953125" customWidth="1"/>
    <col min="6" max="6" width="11" customWidth="1"/>
    <col min="7" max="7" width="8.453125" customWidth="1"/>
    <col min="8" max="9" width="6.90625" customWidth="1"/>
    <col min="10" max="11" width="7.08984375" customWidth="1"/>
    <col min="12" max="12" width="11.54296875" customWidth="1"/>
    <col min="13" max="13" width="15.36328125" customWidth="1"/>
    <col min="14" max="15" width="12.453125" customWidth="1"/>
  </cols>
  <sheetData>
    <row r="1" spans="1:23" ht="26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  <c r="Q1" s="7"/>
    </row>
    <row r="2" spans="1:23" ht="29.9" customHeight="1" x14ac:dyDescent="0.35">
      <c r="A2" s="8" t="s">
        <v>1</v>
      </c>
      <c r="B2" s="5" t="s">
        <v>105</v>
      </c>
      <c r="C2" s="5"/>
      <c r="D2" s="4" t="s">
        <v>3</v>
      </c>
      <c r="E2" s="4"/>
      <c r="F2" s="4"/>
      <c r="G2" s="4"/>
      <c r="H2" s="4"/>
      <c r="I2" s="4"/>
      <c r="J2" s="4"/>
      <c r="K2" s="4" t="s">
        <v>4</v>
      </c>
      <c r="L2" s="4"/>
      <c r="M2" s="4"/>
      <c r="N2" s="4"/>
      <c r="O2" s="4"/>
      <c r="P2" s="9"/>
      <c r="Q2" s="9"/>
    </row>
    <row r="3" spans="1:23" x14ac:dyDescent="0.35">
      <c r="A3" s="10" t="s">
        <v>5</v>
      </c>
      <c r="B3" s="11" t="s">
        <v>6</v>
      </c>
      <c r="C3" s="12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13" t="s">
        <v>71</v>
      </c>
      <c r="I3" s="13" t="s">
        <v>12</v>
      </c>
      <c r="J3" s="13" t="s">
        <v>92</v>
      </c>
      <c r="K3" s="13" t="s">
        <v>8</v>
      </c>
      <c r="L3" s="13" t="s">
        <v>9</v>
      </c>
      <c r="M3" s="13" t="s">
        <v>10</v>
      </c>
      <c r="N3" s="13" t="s">
        <v>11</v>
      </c>
      <c r="O3" s="13" t="s">
        <v>71</v>
      </c>
      <c r="P3" s="13" t="s">
        <v>12</v>
      </c>
      <c r="Q3" s="13" t="s">
        <v>92</v>
      </c>
    </row>
    <row r="4" spans="1:23" x14ac:dyDescent="0.35">
      <c r="A4" s="14">
        <v>3734</v>
      </c>
      <c r="B4" s="14">
        <f t="shared" ref="B4:Q4" si="0">SUM(B5:B47)</f>
        <v>5201</v>
      </c>
      <c r="C4" s="14">
        <f t="shared" si="0"/>
        <v>8595</v>
      </c>
      <c r="D4" s="14">
        <f t="shared" si="0"/>
        <v>2983</v>
      </c>
      <c r="E4" s="14">
        <f t="shared" si="0"/>
        <v>1327</v>
      </c>
      <c r="F4" s="14">
        <f t="shared" si="0"/>
        <v>308</v>
      </c>
      <c r="G4" s="14">
        <f t="shared" si="0"/>
        <v>579</v>
      </c>
      <c r="H4" s="14">
        <f t="shared" si="0"/>
        <v>0</v>
      </c>
      <c r="I4" s="14">
        <f t="shared" si="0"/>
        <v>4</v>
      </c>
      <c r="J4" s="14">
        <f t="shared" si="0"/>
        <v>0</v>
      </c>
      <c r="K4" s="14">
        <f t="shared" si="0"/>
        <v>4982</v>
      </c>
      <c r="L4" s="14">
        <f t="shared" si="0"/>
        <v>2191</v>
      </c>
      <c r="M4" s="14">
        <f t="shared" si="0"/>
        <v>520</v>
      </c>
      <c r="N4" s="14">
        <f t="shared" si="0"/>
        <v>896</v>
      </c>
      <c r="O4" s="14">
        <f t="shared" si="0"/>
        <v>0</v>
      </c>
      <c r="P4" s="14">
        <f t="shared" si="0"/>
        <v>6</v>
      </c>
      <c r="Q4" s="14">
        <f t="shared" si="0"/>
        <v>0</v>
      </c>
      <c r="R4" s="15"/>
      <c r="S4" s="15"/>
      <c r="T4" s="15"/>
      <c r="U4" s="15"/>
      <c r="V4" s="15"/>
      <c r="W4" s="15"/>
    </row>
    <row r="5" spans="1:23" x14ac:dyDescent="0.35">
      <c r="A5" s="16" t="s">
        <v>13</v>
      </c>
      <c r="B5" s="36">
        <f t="shared" ref="B5:B47" si="1">SUM(D5:J5)</f>
        <v>9</v>
      </c>
      <c r="C5" s="17">
        <f t="shared" ref="C5:C47" si="2">SUM(K5:Q5)</f>
        <v>15</v>
      </c>
      <c r="D5" s="16">
        <v>5</v>
      </c>
      <c r="E5" s="16">
        <v>2</v>
      </c>
      <c r="F5" s="16">
        <v>0</v>
      </c>
      <c r="G5" s="16">
        <v>2</v>
      </c>
      <c r="H5" s="16">
        <v>0</v>
      </c>
      <c r="I5" s="16">
        <v>0</v>
      </c>
      <c r="J5" s="16">
        <v>0</v>
      </c>
      <c r="K5" s="16">
        <v>9</v>
      </c>
      <c r="L5" s="16">
        <v>4</v>
      </c>
      <c r="M5" s="16">
        <v>0</v>
      </c>
      <c r="N5" s="16">
        <v>2</v>
      </c>
      <c r="O5" s="16">
        <v>0</v>
      </c>
      <c r="P5" s="16">
        <v>0</v>
      </c>
      <c r="Q5" s="16">
        <v>0</v>
      </c>
    </row>
    <row r="6" spans="1:23" x14ac:dyDescent="0.35">
      <c r="A6" s="16" t="s">
        <v>106</v>
      </c>
      <c r="B6" s="36">
        <f t="shared" si="1"/>
        <v>54</v>
      </c>
      <c r="C6" s="17">
        <f t="shared" si="2"/>
        <v>54</v>
      </c>
      <c r="D6" s="16">
        <v>31</v>
      </c>
      <c r="E6" s="16">
        <v>22</v>
      </c>
      <c r="F6" s="16">
        <v>1</v>
      </c>
      <c r="G6" s="16">
        <v>0</v>
      </c>
      <c r="H6" s="16">
        <v>0</v>
      </c>
      <c r="I6" s="16">
        <v>0</v>
      </c>
      <c r="J6" s="16">
        <v>0</v>
      </c>
      <c r="K6" s="16">
        <v>31</v>
      </c>
      <c r="L6" s="16">
        <v>22</v>
      </c>
      <c r="M6" s="16">
        <v>1</v>
      </c>
      <c r="N6" s="16">
        <v>0</v>
      </c>
      <c r="O6" s="16">
        <v>0</v>
      </c>
      <c r="P6" s="16">
        <v>0</v>
      </c>
      <c r="Q6" s="16">
        <v>0</v>
      </c>
    </row>
    <row r="7" spans="1:23" x14ac:dyDescent="0.35">
      <c r="A7" s="16" t="s">
        <v>14</v>
      </c>
      <c r="B7" s="36">
        <f t="shared" si="1"/>
        <v>142</v>
      </c>
      <c r="C7" s="17">
        <f t="shared" si="2"/>
        <v>203</v>
      </c>
      <c r="D7" s="16">
        <v>66</v>
      </c>
      <c r="E7" s="16">
        <v>39</v>
      </c>
      <c r="F7" s="16">
        <v>18</v>
      </c>
      <c r="G7" s="16">
        <v>19</v>
      </c>
      <c r="H7" s="16">
        <v>0</v>
      </c>
      <c r="I7" s="16">
        <v>0</v>
      </c>
      <c r="J7" s="16">
        <v>0</v>
      </c>
      <c r="K7" s="16">
        <v>98</v>
      </c>
      <c r="L7" s="16">
        <v>60</v>
      </c>
      <c r="M7" s="16">
        <v>25</v>
      </c>
      <c r="N7" s="16">
        <v>20</v>
      </c>
      <c r="O7" s="16">
        <v>0</v>
      </c>
      <c r="P7" s="16">
        <v>0</v>
      </c>
      <c r="Q7" s="16">
        <v>0</v>
      </c>
    </row>
    <row r="8" spans="1:23" x14ac:dyDescent="0.35">
      <c r="A8" s="16" t="s">
        <v>15</v>
      </c>
      <c r="B8" s="36">
        <f t="shared" si="1"/>
        <v>32</v>
      </c>
      <c r="C8" s="17">
        <f t="shared" si="2"/>
        <v>58</v>
      </c>
      <c r="D8" s="16">
        <v>22</v>
      </c>
      <c r="E8" s="16">
        <v>9</v>
      </c>
      <c r="F8" s="16">
        <v>0</v>
      </c>
      <c r="G8" s="16">
        <v>1</v>
      </c>
      <c r="H8" s="16">
        <v>0</v>
      </c>
      <c r="I8" s="16">
        <v>0</v>
      </c>
      <c r="J8" s="16">
        <v>0</v>
      </c>
      <c r="K8" s="16">
        <v>39</v>
      </c>
      <c r="L8" s="16">
        <v>17</v>
      </c>
      <c r="M8" s="16">
        <v>0</v>
      </c>
      <c r="N8" s="16">
        <v>2</v>
      </c>
      <c r="O8" s="16">
        <v>0</v>
      </c>
      <c r="P8" s="16">
        <v>0</v>
      </c>
      <c r="Q8" s="16">
        <v>0</v>
      </c>
    </row>
    <row r="9" spans="1:23" x14ac:dyDescent="0.35">
      <c r="A9" s="16" t="s">
        <v>16</v>
      </c>
      <c r="B9" s="36">
        <f t="shared" si="1"/>
        <v>135</v>
      </c>
      <c r="C9" s="17">
        <f t="shared" si="2"/>
        <v>221</v>
      </c>
      <c r="D9" s="16">
        <v>71</v>
      </c>
      <c r="E9" s="16">
        <v>32</v>
      </c>
      <c r="F9" s="16">
        <v>15</v>
      </c>
      <c r="G9" s="16">
        <v>17</v>
      </c>
      <c r="H9" s="16">
        <v>0</v>
      </c>
      <c r="I9" s="16">
        <v>0</v>
      </c>
      <c r="J9" s="16">
        <v>0</v>
      </c>
      <c r="K9" s="16">
        <v>115</v>
      </c>
      <c r="L9" s="16">
        <v>55</v>
      </c>
      <c r="M9" s="16">
        <v>26</v>
      </c>
      <c r="N9" s="16">
        <v>25</v>
      </c>
      <c r="O9" s="16">
        <v>0</v>
      </c>
      <c r="P9" s="16">
        <v>0</v>
      </c>
      <c r="Q9" s="16">
        <v>0</v>
      </c>
    </row>
    <row r="10" spans="1:23" x14ac:dyDescent="0.35">
      <c r="A10" s="16" t="s">
        <v>17</v>
      </c>
      <c r="B10" s="36">
        <f t="shared" si="1"/>
        <v>67</v>
      </c>
      <c r="C10" s="17">
        <f t="shared" si="2"/>
        <v>118</v>
      </c>
      <c r="D10" s="16">
        <v>23</v>
      </c>
      <c r="E10" s="16">
        <v>26</v>
      </c>
      <c r="F10" s="16">
        <v>17</v>
      </c>
      <c r="G10" s="16">
        <v>1</v>
      </c>
      <c r="H10" s="16">
        <v>0</v>
      </c>
      <c r="I10" s="16">
        <v>0</v>
      </c>
      <c r="J10" s="16">
        <v>0</v>
      </c>
      <c r="K10" s="16">
        <v>47</v>
      </c>
      <c r="L10" s="16">
        <v>41</v>
      </c>
      <c r="M10" s="16">
        <v>29</v>
      </c>
      <c r="N10" s="16">
        <v>1</v>
      </c>
      <c r="O10" s="16">
        <v>0</v>
      </c>
      <c r="P10" s="16">
        <v>0</v>
      </c>
      <c r="Q10" s="16">
        <v>0</v>
      </c>
    </row>
    <row r="11" spans="1:23" x14ac:dyDescent="0.35">
      <c r="A11" s="16" t="s">
        <v>18</v>
      </c>
      <c r="B11" s="36">
        <f t="shared" si="1"/>
        <v>760</v>
      </c>
      <c r="C11" s="17">
        <f t="shared" si="2"/>
        <v>1340</v>
      </c>
      <c r="D11" s="16">
        <v>438</v>
      </c>
      <c r="E11" s="16">
        <v>168</v>
      </c>
      <c r="F11" s="16">
        <v>45</v>
      </c>
      <c r="G11" s="16">
        <v>109</v>
      </c>
      <c r="H11" s="16">
        <v>0</v>
      </c>
      <c r="I11" s="16">
        <v>0</v>
      </c>
      <c r="J11" s="16">
        <v>0</v>
      </c>
      <c r="K11" s="16">
        <v>786</v>
      </c>
      <c r="L11" s="16">
        <v>307</v>
      </c>
      <c r="M11" s="16">
        <v>83</v>
      </c>
      <c r="N11" s="16">
        <v>164</v>
      </c>
      <c r="O11" s="16">
        <v>0</v>
      </c>
      <c r="P11" s="16">
        <v>0</v>
      </c>
      <c r="Q11" s="16">
        <v>0</v>
      </c>
    </row>
    <row r="12" spans="1:23" x14ac:dyDescent="0.35">
      <c r="A12" s="16" t="s">
        <v>19</v>
      </c>
      <c r="B12" s="36">
        <f t="shared" si="1"/>
        <v>2</v>
      </c>
      <c r="C12" s="17">
        <f t="shared" si="2"/>
        <v>2</v>
      </c>
      <c r="D12" s="16">
        <v>0</v>
      </c>
      <c r="E12" s="16">
        <v>1</v>
      </c>
      <c r="F12" s="16">
        <v>0</v>
      </c>
      <c r="G12" s="16">
        <v>1</v>
      </c>
      <c r="H12" s="16">
        <v>0</v>
      </c>
      <c r="I12" s="16">
        <v>0</v>
      </c>
      <c r="J12" s="16">
        <v>0</v>
      </c>
      <c r="K12" s="16">
        <v>0</v>
      </c>
      <c r="L12" s="16">
        <v>1</v>
      </c>
      <c r="M12" s="16">
        <v>0</v>
      </c>
      <c r="N12" s="16">
        <v>1</v>
      </c>
      <c r="O12" s="16">
        <v>0</v>
      </c>
      <c r="P12" s="16">
        <v>0</v>
      </c>
      <c r="Q12" s="16">
        <v>0</v>
      </c>
    </row>
    <row r="13" spans="1:23" x14ac:dyDescent="0.35">
      <c r="A13" s="16" t="s">
        <v>20</v>
      </c>
      <c r="B13" s="36">
        <f t="shared" si="1"/>
        <v>36</v>
      </c>
      <c r="C13" s="17">
        <f t="shared" si="2"/>
        <v>59</v>
      </c>
      <c r="D13" s="16">
        <v>23</v>
      </c>
      <c r="E13" s="16">
        <v>6</v>
      </c>
      <c r="F13" s="16">
        <v>2</v>
      </c>
      <c r="G13" s="16">
        <v>5</v>
      </c>
      <c r="H13" s="16">
        <v>0</v>
      </c>
      <c r="I13" s="16">
        <v>0</v>
      </c>
      <c r="J13" s="16">
        <v>0</v>
      </c>
      <c r="K13" s="16">
        <v>37</v>
      </c>
      <c r="L13" s="16">
        <v>11</v>
      </c>
      <c r="M13" s="16">
        <v>3</v>
      </c>
      <c r="N13" s="16">
        <v>8</v>
      </c>
      <c r="O13" s="16">
        <v>0</v>
      </c>
      <c r="P13" s="16">
        <v>0</v>
      </c>
      <c r="Q13" s="16">
        <v>0</v>
      </c>
    </row>
    <row r="14" spans="1:23" x14ac:dyDescent="0.35">
      <c r="A14" s="16" t="s">
        <v>21</v>
      </c>
      <c r="B14" s="36">
        <f t="shared" si="1"/>
        <v>396</v>
      </c>
      <c r="C14" s="17">
        <f t="shared" si="2"/>
        <v>634</v>
      </c>
      <c r="D14" s="16">
        <v>239</v>
      </c>
      <c r="E14" s="16">
        <v>95</v>
      </c>
      <c r="F14" s="16">
        <v>22</v>
      </c>
      <c r="G14" s="16">
        <v>40</v>
      </c>
      <c r="H14" s="16">
        <v>0</v>
      </c>
      <c r="I14" s="16">
        <v>0</v>
      </c>
      <c r="J14" s="16">
        <v>0</v>
      </c>
      <c r="K14" s="16">
        <v>388</v>
      </c>
      <c r="L14" s="16">
        <v>152</v>
      </c>
      <c r="M14" s="16">
        <v>31</v>
      </c>
      <c r="N14" s="16">
        <v>63</v>
      </c>
      <c r="O14" s="16">
        <v>0</v>
      </c>
      <c r="P14" s="16">
        <v>0</v>
      </c>
      <c r="Q14" s="16">
        <v>0</v>
      </c>
    </row>
    <row r="15" spans="1:23" x14ac:dyDescent="0.35">
      <c r="A15" s="16" t="s">
        <v>62</v>
      </c>
      <c r="B15" s="36">
        <f t="shared" si="1"/>
        <v>1</v>
      </c>
      <c r="C15" s="17">
        <f t="shared" si="2"/>
        <v>1</v>
      </c>
      <c r="D15" s="16">
        <v>0</v>
      </c>
      <c r="E15" s="16">
        <v>0</v>
      </c>
      <c r="F15" s="16">
        <v>0</v>
      </c>
      <c r="G15" s="16">
        <v>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1</v>
      </c>
      <c r="O15" s="16">
        <v>0</v>
      </c>
      <c r="P15" s="16">
        <v>0</v>
      </c>
      <c r="Q15" s="16">
        <v>0</v>
      </c>
    </row>
    <row r="16" spans="1:23" x14ac:dyDescent="0.35">
      <c r="A16" s="16" t="s">
        <v>63</v>
      </c>
      <c r="B16" s="36">
        <f t="shared" si="1"/>
        <v>1</v>
      </c>
      <c r="C16" s="17">
        <f t="shared" si="2"/>
        <v>1</v>
      </c>
      <c r="D16" s="16">
        <v>0</v>
      </c>
      <c r="E16" s="16">
        <v>0</v>
      </c>
      <c r="F16" s="16">
        <v>0</v>
      </c>
      <c r="G16" s="16">
        <v>1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1</v>
      </c>
      <c r="O16" s="16">
        <v>0</v>
      </c>
      <c r="P16" s="16">
        <v>0</v>
      </c>
      <c r="Q16" s="16">
        <v>0</v>
      </c>
    </row>
    <row r="17" spans="1:17" x14ac:dyDescent="0.35">
      <c r="A17" s="16" t="s">
        <v>22</v>
      </c>
      <c r="B17" s="36">
        <f t="shared" si="1"/>
        <v>160</v>
      </c>
      <c r="C17" s="17">
        <f t="shared" si="2"/>
        <v>270</v>
      </c>
      <c r="D17" s="16">
        <v>95</v>
      </c>
      <c r="E17" s="16">
        <v>36</v>
      </c>
      <c r="F17" s="16">
        <v>8</v>
      </c>
      <c r="G17" s="16">
        <v>21</v>
      </c>
      <c r="H17" s="16">
        <v>0</v>
      </c>
      <c r="I17" s="16">
        <v>0</v>
      </c>
      <c r="J17" s="16">
        <v>0</v>
      </c>
      <c r="K17" s="16">
        <v>163</v>
      </c>
      <c r="L17" s="16">
        <v>63</v>
      </c>
      <c r="M17" s="16">
        <v>13</v>
      </c>
      <c r="N17" s="16">
        <v>31</v>
      </c>
      <c r="O17" s="16">
        <v>0</v>
      </c>
      <c r="P17" s="16">
        <v>0</v>
      </c>
      <c r="Q17" s="16">
        <v>0</v>
      </c>
    </row>
    <row r="18" spans="1:17" x14ac:dyDescent="0.35">
      <c r="A18" s="16" t="s">
        <v>23</v>
      </c>
      <c r="B18" s="36">
        <f t="shared" si="1"/>
        <v>86</v>
      </c>
      <c r="C18" s="17">
        <f t="shared" si="2"/>
        <v>141</v>
      </c>
      <c r="D18" s="16">
        <v>36</v>
      </c>
      <c r="E18" s="16">
        <v>28</v>
      </c>
      <c r="F18" s="16">
        <v>9</v>
      </c>
      <c r="G18" s="16">
        <v>13</v>
      </c>
      <c r="H18" s="16">
        <v>0</v>
      </c>
      <c r="I18" s="16">
        <v>0</v>
      </c>
      <c r="J18" s="16">
        <v>0</v>
      </c>
      <c r="K18" s="16">
        <v>62</v>
      </c>
      <c r="L18" s="16">
        <v>46</v>
      </c>
      <c r="M18" s="16">
        <v>13</v>
      </c>
      <c r="N18" s="16">
        <v>20</v>
      </c>
      <c r="O18" s="16">
        <v>0</v>
      </c>
      <c r="P18" s="16">
        <v>0</v>
      </c>
      <c r="Q18" s="16">
        <v>0</v>
      </c>
    </row>
    <row r="19" spans="1:17" x14ac:dyDescent="0.35">
      <c r="A19" s="16" t="s">
        <v>24</v>
      </c>
      <c r="B19" s="36">
        <f t="shared" si="1"/>
        <v>42</v>
      </c>
      <c r="C19" s="17">
        <f t="shared" si="2"/>
        <v>77</v>
      </c>
      <c r="D19" s="16">
        <v>20</v>
      </c>
      <c r="E19" s="16">
        <v>11</v>
      </c>
      <c r="F19" s="16">
        <v>9</v>
      </c>
      <c r="G19" s="16">
        <v>2</v>
      </c>
      <c r="H19" s="16">
        <v>0</v>
      </c>
      <c r="I19" s="16">
        <v>0</v>
      </c>
      <c r="J19" s="16">
        <v>0</v>
      </c>
      <c r="K19" s="16">
        <v>37</v>
      </c>
      <c r="L19" s="16">
        <v>22</v>
      </c>
      <c r="M19" s="16">
        <v>15</v>
      </c>
      <c r="N19" s="16">
        <v>3</v>
      </c>
      <c r="O19" s="16">
        <v>0</v>
      </c>
      <c r="P19" s="16">
        <v>0</v>
      </c>
      <c r="Q19" s="16">
        <v>0</v>
      </c>
    </row>
    <row r="20" spans="1:17" x14ac:dyDescent="0.35">
      <c r="A20" s="16" t="s">
        <v>25</v>
      </c>
      <c r="B20" s="36">
        <f t="shared" si="1"/>
        <v>222</v>
      </c>
      <c r="C20" s="17">
        <f t="shared" si="2"/>
        <v>342</v>
      </c>
      <c r="D20" s="16">
        <v>120</v>
      </c>
      <c r="E20" s="16">
        <v>45</v>
      </c>
      <c r="F20" s="16">
        <v>13</v>
      </c>
      <c r="G20" s="16">
        <v>44</v>
      </c>
      <c r="H20" s="16">
        <v>0</v>
      </c>
      <c r="I20" s="16">
        <v>0</v>
      </c>
      <c r="J20" s="16">
        <v>0</v>
      </c>
      <c r="K20" s="16">
        <v>186</v>
      </c>
      <c r="L20" s="16">
        <v>72</v>
      </c>
      <c r="M20" s="16">
        <v>20</v>
      </c>
      <c r="N20" s="16">
        <v>64</v>
      </c>
      <c r="O20" s="16">
        <v>0</v>
      </c>
      <c r="P20" s="16">
        <v>0</v>
      </c>
      <c r="Q20" s="16">
        <v>0</v>
      </c>
    </row>
    <row r="21" spans="1:17" x14ac:dyDescent="0.35">
      <c r="A21" s="16" t="s">
        <v>26</v>
      </c>
      <c r="B21" s="36">
        <f t="shared" si="1"/>
        <v>1</v>
      </c>
      <c r="C21" s="17">
        <f t="shared" si="2"/>
        <v>1</v>
      </c>
      <c r="D21" s="16">
        <v>0</v>
      </c>
      <c r="E21" s="16">
        <v>0</v>
      </c>
      <c r="F21" s="16">
        <v>0</v>
      </c>
      <c r="G21" s="16">
        <v>1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1</v>
      </c>
      <c r="O21" s="16">
        <v>0</v>
      </c>
      <c r="P21" s="16">
        <v>0</v>
      </c>
      <c r="Q21" s="16">
        <v>0</v>
      </c>
    </row>
    <row r="22" spans="1:17" x14ac:dyDescent="0.35">
      <c r="A22" s="16" t="s">
        <v>27</v>
      </c>
      <c r="B22" s="36">
        <f t="shared" si="1"/>
        <v>90</v>
      </c>
      <c r="C22" s="17">
        <f t="shared" si="2"/>
        <v>147</v>
      </c>
      <c r="D22" s="16">
        <v>34</v>
      </c>
      <c r="E22" s="16">
        <v>34</v>
      </c>
      <c r="F22" s="16">
        <v>4</v>
      </c>
      <c r="G22" s="16">
        <v>18</v>
      </c>
      <c r="H22" s="16">
        <v>0</v>
      </c>
      <c r="I22" s="16">
        <v>0</v>
      </c>
      <c r="J22" s="16">
        <v>0</v>
      </c>
      <c r="K22" s="16">
        <v>54</v>
      </c>
      <c r="L22" s="16">
        <v>56</v>
      </c>
      <c r="M22" s="16">
        <v>7</v>
      </c>
      <c r="N22" s="16">
        <v>30</v>
      </c>
      <c r="O22" s="16">
        <v>0</v>
      </c>
      <c r="P22" s="16">
        <v>0</v>
      </c>
      <c r="Q22" s="16">
        <v>0</v>
      </c>
    </row>
    <row r="23" spans="1:17" x14ac:dyDescent="0.35">
      <c r="A23" s="16" t="s">
        <v>28</v>
      </c>
      <c r="B23" s="36">
        <f t="shared" si="1"/>
        <v>109</v>
      </c>
      <c r="C23" s="17">
        <f t="shared" si="2"/>
        <v>187</v>
      </c>
      <c r="D23" s="16">
        <v>70</v>
      </c>
      <c r="E23" s="16">
        <v>30</v>
      </c>
      <c r="F23" s="16">
        <v>9</v>
      </c>
      <c r="G23" s="16">
        <v>0</v>
      </c>
      <c r="H23" s="16">
        <v>0</v>
      </c>
      <c r="I23" s="16">
        <v>0</v>
      </c>
      <c r="J23" s="16">
        <v>0</v>
      </c>
      <c r="K23" s="16">
        <v>122</v>
      </c>
      <c r="L23" s="16">
        <v>49</v>
      </c>
      <c r="M23" s="16">
        <v>16</v>
      </c>
      <c r="N23" s="16"/>
      <c r="O23" s="16">
        <v>0</v>
      </c>
      <c r="P23" s="16">
        <v>0</v>
      </c>
      <c r="Q23" s="16">
        <v>0</v>
      </c>
    </row>
    <row r="24" spans="1:17" x14ac:dyDescent="0.35">
      <c r="A24" s="16" t="s">
        <v>107</v>
      </c>
      <c r="B24" s="36">
        <f t="shared" si="1"/>
        <v>7</v>
      </c>
      <c r="C24" s="17">
        <f t="shared" si="2"/>
        <v>9</v>
      </c>
      <c r="D24" s="16">
        <v>0</v>
      </c>
      <c r="E24" s="16">
        <v>0</v>
      </c>
      <c r="F24" s="16">
        <v>0</v>
      </c>
      <c r="G24" s="16">
        <v>7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9</v>
      </c>
      <c r="O24" s="16">
        <v>0</v>
      </c>
      <c r="P24" s="16">
        <v>0</v>
      </c>
      <c r="Q24" s="16">
        <v>0</v>
      </c>
    </row>
    <row r="25" spans="1:17" x14ac:dyDescent="0.35">
      <c r="A25" s="16" t="s">
        <v>29</v>
      </c>
      <c r="B25" s="36">
        <f t="shared" si="1"/>
        <v>199</v>
      </c>
      <c r="C25" s="17">
        <f t="shared" si="2"/>
        <v>388</v>
      </c>
      <c r="D25" s="16">
        <v>144</v>
      </c>
      <c r="E25" s="16">
        <v>45</v>
      </c>
      <c r="F25" s="16">
        <v>2</v>
      </c>
      <c r="G25" s="16">
        <v>8</v>
      </c>
      <c r="H25" s="16">
        <v>0</v>
      </c>
      <c r="I25" s="16">
        <v>0</v>
      </c>
      <c r="J25" s="16">
        <v>0</v>
      </c>
      <c r="K25" s="16">
        <v>270</v>
      </c>
      <c r="L25" s="16">
        <v>102</v>
      </c>
      <c r="M25" s="16">
        <v>2</v>
      </c>
      <c r="N25" s="16">
        <v>14</v>
      </c>
      <c r="O25" s="16">
        <v>0</v>
      </c>
      <c r="P25" s="16">
        <v>0</v>
      </c>
      <c r="Q25" s="16">
        <v>0</v>
      </c>
    </row>
    <row r="26" spans="1:17" x14ac:dyDescent="0.35">
      <c r="A26" s="16" t="s">
        <v>30</v>
      </c>
      <c r="B26" s="36">
        <f t="shared" si="1"/>
        <v>185</v>
      </c>
      <c r="C26" s="17">
        <f t="shared" si="2"/>
        <v>376</v>
      </c>
      <c r="D26" s="16">
        <v>125</v>
      </c>
      <c r="E26" s="16">
        <v>44</v>
      </c>
      <c r="F26" s="16">
        <v>4</v>
      </c>
      <c r="G26" s="16">
        <v>12</v>
      </c>
      <c r="H26" s="16">
        <v>0</v>
      </c>
      <c r="I26" s="16">
        <v>0</v>
      </c>
      <c r="J26" s="16">
        <v>0</v>
      </c>
      <c r="K26" s="16">
        <v>272</v>
      </c>
      <c r="L26" s="16">
        <v>75</v>
      </c>
      <c r="M26" s="16">
        <v>6</v>
      </c>
      <c r="N26" s="16">
        <v>23</v>
      </c>
      <c r="O26" s="16">
        <v>0</v>
      </c>
      <c r="P26" s="16">
        <v>0</v>
      </c>
      <c r="Q26" s="16">
        <v>0</v>
      </c>
    </row>
    <row r="27" spans="1:17" x14ac:dyDescent="0.35">
      <c r="A27" s="16" t="s">
        <v>82</v>
      </c>
      <c r="B27" s="36">
        <f t="shared" si="1"/>
        <v>1</v>
      </c>
      <c r="C27" s="17">
        <f t="shared" si="2"/>
        <v>1</v>
      </c>
      <c r="D27" s="16">
        <v>0</v>
      </c>
      <c r="E27" s="16">
        <v>0</v>
      </c>
      <c r="F27" s="16">
        <v>0</v>
      </c>
      <c r="G27" s="16">
        <v>1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1</v>
      </c>
      <c r="O27" s="16">
        <v>0</v>
      </c>
      <c r="P27" s="16">
        <v>0</v>
      </c>
      <c r="Q27" s="16">
        <v>0</v>
      </c>
    </row>
    <row r="28" spans="1:17" x14ac:dyDescent="0.35">
      <c r="A28" s="16" t="s">
        <v>74</v>
      </c>
      <c r="B28" s="36">
        <f t="shared" si="1"/>
        <v>1</v>
      </c>
      <c r="C28" s="17">
        <f t="shared" si="2"/>
        <v>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1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1</v>
      </c>
      <c r="Q28" s="16">
        <v>0</v>
      </c>
    </row>
    <row r="29" spans="1:17" x14ac:dyDescent="0.35">
      <c r="A29" s="16" t="s">
        <v>85</v>
      </c>
      <c r="B29" s="36">
        <f t="shared" si="1"/>
        <v>3</v>
      </c>
      <c r="C29" s="17">
        <f t="shared" si="2"/>
        <v>5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3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5</v>
      </c>
      <c r="Q29" s="16">
        <v>0</v>
      </c>
    </row>
    <row r="30" spans="1:17" x14ac:dyDescent="0.35">
      <c r="A30" s="16" t="s">
        <v>31</v>
      </c>
      <c r="B30" s="36">
        <f t="shared" si="1"/>
        <v>27</v>
      </c>
      <c r="C30" s="17">
        <f t="shared" si="2"/>
        <v>50</v>
      </c>
      <c r="D30" s="16">
        <v>11</v>
      </c>
      <c r="E30" s="16">
        <v>12</v>
      </c>
      <c r="F30" s="16">
        <v>2</v>
      </c>
      <c r="G30" s="16">
        <v>2</v>
      </c>
      <c r="H30" s="16">
        <v>0</v>
      </c>
      <c r="I30" s="16">
        <v>0</v>
      </c>
      <c r="J30" s="16">
        <v>0</v>
      </c>
      <c r="K30" s="16">
        <v>19</v>
      </c>
      <c r="L30" s="16">
        <v>23</v>
      </c>
      <c r="M30" s="16">
        <v>4</v>
      </c>
      <c r="N30" s="16">
        <v>4</v>
      </c>
      <c r="O30" s="16">
        <v>0</v>
      </c>
      <c r="P30" s="16">
        <v>0</v>
      </c>
      <c r="Q30" s="16">
        <v>0</v>
      </c>
    </row>
    <row r="31" spans="1:17" x14ac:dyDescent="0.35">
      <c r="A31" s="16" t="s">
        <v>32</v>
      </c>
      <c r="B31" s="36">
        <f t="shared" si="1"/>
        <v>21</v>
      </c>
      <c r="C31" s="17">
        <f t="shared" si="2"/>
        <v>38</v>
      </c>
      <c r="D31" s="16">
        <v>11</v>
      </c>
      <c r="E31" s="16">
        <v>5</v>
      </c>
      <c r="F31" s="16">
        <v>3</v>
      </c>
      <c r="G31" s="16">
        <v>2</v>
      </c>
      <c r="H31" s="16">
        <v>0</v>
      </c>
      <c r="I31" s="16">
        <v>0</v>
      </c>
      <c r="J31" s="16">
        <v>0</v>
      </c>
      <c r="K31" s="16">
        <v>21</v>
      </c>
      <c r="L31" s="16">
        <v>9</v>
      </c>
      <c r="M31" s="16">
        <v>6</v>
      </c>
      <c r="N31" s="16">
        <v>2</v>
      </c>
      <c r="O31" s="16">
        <v>0</v>
      </c>
      <c r="P31" s="16">
        <v>0</v>
      </c>
      <c r="Q31" s="16">
        <v>0</v>
      </c>
    </row>
    <row r="32" spans="1:17" x14ac:dyDescent="0.35">
      <c r="A32" s="16" t="s">
        <v>33</v>
      </c>
      <c r="B32" s="36">
        <f t="shared" si="1"/>
        <v>73</v>
      </c>
      <c r="C32" s="17">
        <f t="shared" si="2"/>
        <v>106</v>
      </c>
      <c r="D32" s="16">
        <v>39</v>
      </c>
      <c r="E32" s="16">
        <v>15</v>
      </c>
      <c r="F32" s="16">
        <v>9</v>
      </c>
      <c r="G32" s="16">
        <v>10</v>
      </c>
      <c r="H32" s="16">
        <v>0</v>
      </c>
      <c r="I32" s="16">
        <v>0</v>
      </c>
      <c r="J32" s="16">
        <v>0</v>
      </c>
      <c r="K32" s="16">
        <v>57</v>
      </c>
      <c r="L32" s="16">
        <v>22</v>
      </c>
      <c r="M32" s="16">
        <v>13</v>
      </c>
      <c r="N32" s="16">
        <v>14</v>
      </c>
      <c r="O32" s="16">
        <v>0</v>
      </c>
      <c r="P32" s="16">
        <v>0</v>
      </c>
      <c r="Q32" s="16">
        <v>0</v>
      </c>
    </row>
    <row r="33" spans="1:17" x14ac:dyDescent="0.35">
      <c r="A33" s="16" t="s">
        <v>34</v>
      </c>
      <c r="B33" s="36">
        <f t="shared" si="1"/>
        <v>983</v>
      </c>
      <c r="C33" s="17">
        <f t="shared" si="2"/>
        <v>1506</v>
      </c>
      <c r="D33" s="16">
        <v>632</v>
      </c>
      <c r="E33" s="16">
        <v>203</v>
      </c>
      <c r="F33" s="16">
        <v>51</v>
      </c>
      <c r="G33" s="16">
        <v>97</v>
      </c>
      <c r="H33" s="16">
        <v>0</v>
      </c>
      <c r="I33" s="16">
        <v>0</v>
      </c>
      <c r="J33" s="16">
        <v>0</v>
      </c>
      <c r="K33" s="16">
        <v>977</v>
      </c>
      <c r="L33" s="16">
        <v>303</v>
      </c>
      <c r="M33" s="16">
        <v>82</v>
      </c>
      <c r="N33" s="16">
        <v>144</v>
      </c>
      <c r="O33" s="16">
        <v>0</v>
      </c>
      <c r="P33" s="16">
        <v>0</v>
      </c>
      <c r="Q33" s="16">
        <v>0</v>
      </c>
    </row>
    <row r="34" spans="1:17" x14ac:dyDescent="0.35">
      <c r="A34" s="16" t="s">
        <v>67</v>
      </c>
      <c r="B34" s="36">
        <f t="shared" si="1"/>
        <v>1</v>
      </c>
      <c r="C34" s="17">
        <f t="shared" si="2"/>
        <v>1</v>
      </c>
      <c r="D34" s="16">
        <v>1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1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</row>
    <row r="35" spans="1:17" x14ac:dyDescent="0.35">
      <c r="A35" s="16" t="s">
        <v>108</v>
      </c>
      <c r="B35" s="36">
        <f t="shared" si="1"/>
        <v>1</v>
      </c>
      <c r="C35" s="17">
        <f t="shared" si="2"/>
        <v>1</v>
      </c>
      <c r="D35" s="16">
        <v>1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1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</row>
    <row r="36" spans="1:17" x14ac:dyDescent="0.35">
      <c r="A36" s="16" t="s">
        <v>35</v>
      </c>
      <c r="B36" s="36">
        <f t="shared" si="1"/>
        <v>425</v>
      </c>
      <c r="C36" s="17">
        <f t="shared" si="2"/>
        <v>659</v>
      </c>
      <c r="D36" s="16">
        <v>193</v>
      </c>
      <c r="E36" s="16">
        <v>134</v>
      </c>
      <c r="F36" s="16">
        <v>21</v>
      </c>
      <c r="G36" s="16">
        <v>77</v>
      </c>
      <c r="H36" s="16">
        <v>0</v>
      </c>
      <c r="I36" s="16">
        <v>0</v>
      </c>
      <c r="J36" s="16">
        <v>0</v>
      </c>
      <c r="K36" s="16">
        <v>292</v>
      </c>
      <c r="L36" s="16">
        <v>212</v>
      </c>
      <c r="M36" s="16">
        <v>40</v>
      </c>
      <c r="N36" s="16">
        <v>115</v>
      </c>
      <c r="O36" s="16">
        <v>0</v>
      </c>
      <c r="P36" s="16">
        <v>0</v>
      </c>
      <c r="Q36" s="16">
        <v>0</v>
      </c>
    </row>
    <row r="37" spans="1:17" x14ac:dyDescent="0.35">
      <c r="A37" s="16" t="s">
        <v>36</v>
      </c>
      <c r="B37" s="36">
        <f t="shared" si="1"/>
        <v>23</v>
      </c>
      <c r="C37" s="17">
        <f t="shared" si="2"/>
        <v>27</v>
      </c>
      <c r="D37" s="16">
        <v>11</v>
      </c>
      <c r="E37" s="16">
        <v>9</v>
      </c>
      <c r="F37" s="16">
        <v>1</v>
      </c>
      <c r="G37" s="16">
        <v>2</v>
      </c>
      <c r="H37" s="16">
        <v>0</v>
      </c>
      <c r="I37" s="16">
        <v>0</v>
      </c>
      <c r="J37" s="16">
        <v>0</v>
      </c>
      <c r="K37" s="16">
        <v>13</v>
      </c>
      <c r="L37" s="16">
        <v>10</v>
      </c>
      <c r="M37" s="16">
        <v>2</v>
      </c>
      <c r="N37" s="16">
        <v>2</v>
      </c>
      <c r="O37" s="16">
        <v>0</v>
      </c>
      <c r="P37" s="16">
        <v>0</v>
      </c>
      <c r="Q37" s="16">
        <v>0</v>
      </c>
    </row>
    <row r="38" spans="1:17" x14ac:dyDescent="0.35">
      <c r="A38" s="16" t="s">
        <v>37</v>
      </c>
      <c r="B38" s="36">
        <f t="shared" si="1"/>
        <v>195</v>
      </c>
      <c r="C38" s="17">
        <f t="shared" si="2"/>
        <v>300</v>
      </c>
      <c r="D38" s="16">
        <v>101</v>
      </c>
      <c r="E38" s="16">
        <v>68</v>
      </c>
      <c r="F38" s="16">
        <v>8</v>
      </c>
      <c r="G38" s="16">
        <v>18</v>
      </c>
      <c r="H38" s="16">
        <v>0</v>
      </c>
      <c r="I38" s="16">
        <v>0</v>
      </c>
      <c r="J38" s="16">
        <v>0</v>
      </c>
      <c r="K38" s="16">
        <v>152</v>
      </c>
      <c r="L38" s="16">
        <v>108</v>
      </c>
      <c r="M38" s="16">
        <v>14</v>
      </c>
      <c r="N38" s="16">
        <v>26</v>
      </c>
      <c r="O38" s="16">
        <v>0</v>
      </c>
      <c r="P38" s="16">
        <v>0</v>
      </c>
      <c r="Q38" s="16">
        <v>0</v>
      </c>
    </row>
    <row r="39" spans="1:17" x14ac:dyDescent="0.35">
      <c r="A39" s="16" t="s">
        <v>38</v>
      </c>
      <c r="B39" s="36">
        <f t="shared" si="1"/>
        <v>171</v>
      </c>
      <c r="C39" s="17">
        <f t="shared" si="2"/>
        <v>527</v>
      </c>
      <c r="D39" s="16">
        <v>99</v>
      </c>
      <c r="E39" s="16">
        <v>39</v>
      </c>
      <c r="F39" s="16">
        <v>9</v>
      </c>
      <c r="G39" s="16">
        <v>24</v>
      </c>
      <c r="H39" s="16">
        <v>0</v>
      </c>
      <c r="I39" s="16">
        <v>0</v>
      </c>
      <c r="J39" s="16">
        <v>0</v>
      </c>
      <c r="K39" s="16">
        <v>314</v>
      </c>
      <c r="L39" s="16">
        <v>113</v>
      </c>
      <c r="M39" s="16">
        <v>27</v>
      </c>
      <c r="N39" s="16">
        <v>73</v>
      </c>
      <c r="O39" s="16">
        <v>0</v>
      </c>
      <c r="P39" s="16">
        <v>0</v>
      </c>
      <c r="Q39" s="16">
        <v>0</v>
      </c>
    </row>
    <row r="40" spans="1:17" x14ac:dyDescent="0.35">
      <c r="A40" s="16" t="s">
        <v>96</v>
      </c>
      <c r="B40" s="36">
        <f t="shared" si="1"/>
        <v>91</v>
      </c>
      <c r="C40" s="17">
        <f t="shared" si="2"/>
        <v>113</v>
      </c>
      <c r="D40" s="16">
        <v>53</v>
      </c>
      <c r="E40" s="16">
        <v>38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64</v>
      </c>
      <c r="L40" s="16">
        <v>49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</row>
    <row r="41" spans="1:17" x14ac:dyDescent="0.35">
      <c r="A41" s="16" t="s">
        <v>97</v>
      </c>
      <c r="B41" s="36">
        <f t="shared" si="1"/>
        <v>127</v>
      </c>
      <c r="C41" s="17">
        <f t="shared" si="2"/>
        <v>145</v>
      </c>
      <c r="D41" s="16">
        <v>97</v>
      </c>
      <c r="E41" s="16">
        <v>28</v>
      </c>
      <c r="F41" s="16">
        <v>2</v>
      </c>
      <c r="G41" s="16">
        <v>0</v>
      </c>
      <c r="H41" s="16">
        <v>0</v>
      </c>
      <c r="I41" s="16">
        <v>0</v>
      </c>
      <c r="J41" s="16">
        <v>0</v>
      </c>
      <c r="K41" s="16">
        <v>112</v>
      </c>
      <c r="L41" s="16">
        <v>31</v>
      </c>
      <c r="M41" s="16">
        <v>2</v>
      </c>
      <c r="N41" s="16">
        <v>0</v>
      </c>
      <c r="O41" s="16">
        <v>0</v>
      </c>
      <c r="P41" s="16">
        <v>0</v>
      </c>
      <c r="Q41" s="16">
        <v>0</v>
      </c>
    </row>
    <row r="42" spans="1:17" x14ac:dyDescent="0.35">
      <c r="A42" s="16" t="s">
        <v>98</v>
      </c>
      <c r="B42" s="36">
        <f t="shared" si="1"/>
        <v>131</v>
      </c>
      <c r="C42" s="17">
        <f t="shared" si="2"/>
        <v>151</v>
      </c>
      <c r="D42" s="16">
        <v>86</v>
      </c>
      <c r="E42" s="16">
        <v>44</v>
      </c>
      <c r="F42" s="16">
        <v>1</v>
      </c>
      <c r="G42" s="16">
        <v>0</v>
      </c>
      <c r="H42" s="16">
        <v>0</v>
      </c>
      <c r="I42" s="16">
        <v>0</v>
      </c>
      <c r="J42" s="16">
        <v>0</v>
      </c>
      <c r="K42" s="16">
        <v>99</v>
      </c>
      <c r="L42" s="16">
        <v>51</v>
      </c>
      <c r="M42" s="16">
        <v>1</v>
      </c>
      <c r="N42" s="16">
        <v>0</v>
      </c>
      <c r="O42" s="16">
        <v>0</v>
      </c>
      <c r="P42" s="16">
        <v>0</v>
      </c>
      <c r="Q42" s="16">
        <v>0</v>
      </c>
    </row>
    <row r="43" spans="1:17" x14ac:dyDescent="0.35">
      <c r="A43" s="16" t="s">
        <v>39</v>
      </c>
      <c r="B43" s="36">
        <f t="shared" si="1"/>
        <v>35</v>
      </c>
      <c r="C43" s="17">
        <f t="shared" si="2"/>
        <v>60</v>
      </c>
      <c r="D43" s="16">
        <v>24</v>
      </c>
      <c r="E43" s="16">
        <v>10</v>
      </c>
      <c r="F43" s="16">
        <v>0</v>
      </c>
      <c r="G43" s="16">
        <v>1</v>
      </c>
      <c r="H43" s="16">
        <v>0</v>
      </c>
      <c r="I43" s="16">
        <v>0</v>
      </c>
      <c r="J43" s="16">
        <v>0</v>
      </c>
      <c r="K43" s="16">
        <v>42</v>
      </c>
      <c r="L43" s="16">
        <v>17</v>
      </c>
      <c r="M43" s="16">
        <v>0</v>
      </c>
      <c r="N43" s="16">
        <v>1</v>
      </c>
      <c r="O43" s="16">
        <v>0</v>
      </c>
      <c r="P43" s="16">
        <v>0</v>
      </c>
      <c r="Q43" s="16">
        <v>0</v>
      </c>
    </row>
    <row r="44" spans="1:17" x14ac:dyDescent="0.35">
      <c r="A44" s="16" t="s">
        <v>40</v>
      </c>
      <c r="B44" s="36">
        <f t="shared" si="1"/>
        <v>77</v>
      </c>
      <c r="C44" s="17">
        <f t="shared" si="2"/>
        <v>136</v>
      </c>
      <c r="D44" s="16">
        <v>25</v>
      </c>
      <c r="E44" s="16">
        <v>24</v>
      </c>
      <c r="F44" s="16">
        <v>14</v>
      </c>
      <c r="G44" s="16">
        <v>14</v>
      </c>
      <c r="H44" s="16">
        <v>0</v>
      </c>
      <c r="I44" s="16">
        <v>0</v>
      </c>
      <c r="J44" s="16">
        <v>0</v>
      </c>
      <c r="K44" s="16">
        <v>46</v>
      </c>
      <c r="L44" s="16">
        <v>47</v>
      </c>
      <c r="M44" s="16">
        <v>24</v>
      </c>
      <c r="N44" s="16">
        <v>19</v>
      </c>
      <c r="O44" s="16">
        <v>0</v>
      </c>
      <c r="P44" s="16">
        <v>0</v>
      </c>
      <c r="Q44" s="16">
        <v>0</v>
      </c>
    </row>
    <row r="45" spans="1:17" x14ac:dyDescent="0.35">
      <c r="A45" s="16" t="s">
        <v>41</v>
      </c>
      <c r="B45" s="36">
        <f t="shared" si="1"/>
        <v>19</v>
      </c>
      <c r="C45" s="17">
        <f t="shared" si="2"/>
        <v>32</v>
      </c>
      <c r="D45" s="16">
        <v>5</v>
      </c>
      <c r="E45" s="16">
        <v>11</v>
      </c>
      <c r="F45" s="16">
        <v>2</v>
      </c>
      <c r="G45" s="16">
        <v>1</v>
      </c>
      <c r="H45" s="16">
        <v>0</v>
      </c>
      <c r="I45" s="16">
        <v>0</v>
      </c>
      <c r="J45" s="16">
        <v>0</v>
      </c>
      <c r="K45" s="16">
        <v>8</v>
      </c>
      <c r="L45" s="16">
        <v>18</v>
      </c>
      <c r="M45" s="16">
        <v>4</v>
      </c>
      <c r="N45" s="16">
        <v>2</v>
      </c>
      <c r="O45" s="16">
        <v>0</v>
      </c>
      <c r="P45" s="16">
        <v>0</v>
      </c>
      <c r="Q45" s="16">
        <v>0</v>
      </c>
    </row>
    <row r="46" spans="1:17" x14ac:dyDescent="0.35">
      <c r="A46" s="16" t="s">
        <v>109</v>
      </c>
      <c r="B46" s="36">
        <f t="shared" si="1"/>
        <v>21</v>
      </c>
      <c r="C46" s="17">
        <f t="shared" si="2"/>
        <v>33</v>
      </c>
      <c r="D46" s="16">
        <v>9</v>
      </c>
      <c r="E46" s="16">
        <v>7</v>
      </c>
      <c r="F46" s="16">
        <v>4</v>
      </c>
      <c r="G46" s="16">
        <v>1</v>
      </c>
      <c r="H46" s="16">
        <v>0</v>
      </c>
      <c r="I46" s="16">
        <v>0</v>
      </c>
      <c r="J46" s="16">
        <v>0</v>
      </c>
      <c r="K46" s="16">
        <v>12</v>
      </c>
      <c r="L46" s="16">
        <v>12</v>
      </c>
      <c r="M46" s="16">
        <v>7</v>
      </c>
      <c r="N46" s="16">
        <v>2</v>
      </c>
      <c r="O46" s="16">
        <v>0</v>
      </c>
      <c r="P46" s="16">
        <v>0</v>
      </c>
      <c r="Q46" s="16">
        <v>0</v>
      </c>
    </row>
    <row r="47" spans="1:17" x14ac:dyDescent="0.35">
      <c r="A47" s="16" t="s">
        <v>42</v>
      </c>
      <c r="B47" s="36">
        <f t="shared" si="1"/>
        <v>39</v>
      </c>
      <c r="C47" s="17">
        <f t="shared" si="2"/>
        <v>59</v>
      </c>
      <c r="D47" s="16">
        <v>23</v>
      </c>
      <c r="E47" s="16">
        <v>7</v>
      </c>
      <c r="F47" s="16">
        <v>3</v>
      </c>
      <c r="G47" s="16">
        <v>6</v>
      </c>
      <c r="H47" s="16">
        <v>0</v>
      </c>
      <c r="I47" s="16">
        <v>0</v>
      </c>
      <c r="J47" s="16">
        <v>0</v>
      </c>
      <c r="K47" s="16">
        <v>36</v>
      </c>
      <c r="L47" s="16">
        <v>11</v>
      </c>
      <c r="M47" s="16">
        <v>4</v>
      </c>
      <c r="N47" s="16">
        <v>8</v>
      </c>
      <c r="O47" s="16">
        <v>0</v>
      </c>
      <c r="P47" s="16">
        <v>0</v>
      </c>
      <c r="Q47" s="16">
        <v>0</v>
      </c>
    </row>
    <row r="48" spans="1:17" x14ac:dyDescent="0.35">
      <c r="A48" s="37">
        <v>3753</v>
      </c>
      <c r="B48" s="38">
        <f t="shared" ref="B48:Q48" si="3">SUM(B49:B55)</f>
        <v>939</v>
      </c>
      <c r="C48" s="38">
        <f t="shared" si="3"/>
        <v>1341</v>
      </c>
      <c r="D48" s="38">
        <f t="shared" si="3"/>
        <v>564</v>
      </c>
      <c r="E48" s="38">
        <f t="shared" si="3"/>
        <v>236</v>
      </c>
      <c r="F48" s="38">
        <f t="shared" si="3"/>
        <v>49</v>
      </c>
      <c r="G48" s="19">
        <f t="shared" si="3"/>
        <v>90</v>
      </c>
      <c r="H48" s="19">
        <f t="shared" si="3"/>
        <v>0</v>
      </c>
      <c r="I48" s="19">
        <f t="shared" si="3"/>
        <v>0</v>
      </c>
      <c r="J48" s="19">
        <f t="shared" si="3"/>
        <v>0</v>
      </c>
      <c r="K48" s="19">
        <f t="shared" si="3"/>
        <v>786</v>
      </c>
      <c r="L48" s="19">
        <f t="shared" si="3"/>
        <v>348</v>
      </c>
      <c r="M48" s="19">
        <f t="shared" si="3"/>
        <v>78</v>
      </c>
      <c r="N48" s="19">
        <f t="shared" si="3"/>
        <v>129</v>
      </c>
      <c r="O48" s="19">
        <f t="shared" si="3"/>
        <v>0</v>
      </c>
      <c r="P48" s="19">
        <f t="shared" si="3"/>
        <v>0</v>
      </c>
      <c r="Q48" s="19">
        <f t="shared" si="3"/>
        <v>0</v>
      </c>
    </row>
    <row r="49" spans="1:23" x14ac:dyDescent="0.35">
      <c r="A49" s="16" t="s">
        <v>110</v>
      </c>
      <c r="B49" s="39">
        <f t="shared" ref="B49:B55" si="4">SUM(D49:J49)</f>
        <v>16</v>
      </c>
      <c r="C49" s="39">
        <f t="shared" ref="C49:C55" si="5">SUM(K49:Q49)</f>
        <v>19</v>
      </c>
      <c r="D49" s="16">
        <v>14</v>
      </c>
      <c r="E49" s="16">
        <v>1</v>
      </c>
      <c r="F49" s="16">
        <v>0</v>
      </c>
      <c r="G49" s="16">
        <v>1</v>
      </c>
      <c r="H49" s="16">
        <v>0</v>
      </c>
      <c r="I49" s="16">
        <v>0</v>
      </c>
      <c r="J49" s="16">
        <v>0</v>
      </c>
      <c r="K49" s="16">
        <v>16</v>
      </c>
      <c r="L49" s="16">
        <v>2</v>
      </c>
      <c r="M49" s="16">
        <v>0</v>
      </c>
      <c r="N49" s="16">
        <v>1</v>
      </c>
      <c r="O49" s="16">
        <v>0</v>
      </c>
      <c r="P49" s="16">
        <v>0</v>
      </c>
      <c r="Q49" s="16">
        <v>0</v>
      </c>
      <c r="R49" s="15"/>
      <c r="S49" s="15"/>
      <c r="T49" s="15"/>
      <c r="U49" s="15"/>
      <c r="V49" s="15"/>
      <c r="W49" s="15"/>
    </row>
    <row r="50" spans="1:23" x14ac:dyDescent="0.35">
      <c r="A50" s="16" t="s">
        <v>43</v>
      </c>
      <c r="B50" s="39">
        <f t="shared" si="4"/>
        <v>96</v>
      </c>
      <c r="C50" s="39">
        <f t="shared" si="5"/>
        <v>154</v>
      </c>
      <c r="D50" s="16">
        <v>49</v>
      </c>
      <c r="E50" s="16">
        <v>27</v>
      </c>
      <c r="F50" s="16">
        <v>10</v>
      </c>
      <c r="G50" s="16">
        <v>10</v>
      </c>
      <c r="H50" s="16">
        <v>0</v>
      </c>
      <c r="I50" s="16">
        <v>0</v>
      </c>
      <c r="J50" s="16">
        <v>0</v>
      </c>
      <c r="K50" s="16">
        <v>76</v>
      </c>
      <c r="L50" s="16">
        <v>45</v>
      </c>
      <c r="M50" s="16">
        <v>17</v>
      </c>
      <c r="N50" s="16">
        <v>16</v>
      </c>
      <c r="O50" s="16">
        <v>0</v>
      </c>
      <c r="P50" s="16">
        <v>0</v>
      </c>
      <c r="Q50" s="16">
        <v>0</v>
      </c>
    </row>
    <row r="51" spans="1:23" x14ac:dyDescent="0.35">
      <c r="A51" s="16" t="s">
        <v>111</v>
      </c>
      <c r="B51" s="39">
        <f t="shared" si="4"/>
        <v>64</v>
      </c>
      <c r="C51" s="39">
        <f t="shared" si="5"/>
        <v>64</v>
      </c>
      <c r="D51" s="16">
        <v>46</v>
      </c>
      <c r="E51" s="16">
        <v>18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46</v>
      </c>
      <c r="L51" s="16">
        <v>18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</row>
    <row r="52" spans="1:23" x14ac:dyDescent="0.35">
      <c r="A52" s="16" t="s">
        <v>44</v>
      </c>
      <c r="B52" s="39">
        <f t="shared" si="4"/>
        <v>46</v>
      </c>
      <c r="C52" s="39">
        <f t="shared" si="5"/>
        <v>71</v>
      </c>
      <c r="D52" s="16">
        <v>20</v>
      </c>
      <c r="E52" s="16">
        <v>17</v>
      </c>
      <c r="F52" s="16">
        <v>7</v>
      </c>
      <c r="G52" s="16">
        <v>2</v>
      </c>
      <c r="H52" s="16">
        <v>0</v>
      </c>
      <c r="I52" s="16">
        <v>0</v>
      </c>
      <c r="J52" s="16">
        <v>0</v>
      </c>
      <c r="K52" s="16">
        <v>30</v>
      </c>
      <c r="L52" s="16">
        <v>27</v>
      </c>
      <c r="M52" s="16">
        <v>11</v>
      </c>
      <c r="N52" s="16">
        <v>3</v>
      </c>
      <c r="O52" s="16">
        <v>0</v>
      </c>
      <c r="P52" s="16">
        <v>0</v>
      </c>
      <c r="Q52" s="16">
        <v>0</v>
      </c>
    </row>
    <row r="53" spans="1:23" x14ac:dyDescent="0.35">
      <c r="A53" s="16" t="s">
        <v>45</v>
      </c>
      <c r="B53" s="39">
        <f t="shared" si="4"/>
        <v>158</v>
      </c>
      <c r="C53" s="39">
        <f t="shared" si="5"/>
        <v>228</v>
      </c>
      <c r="D53" s="16">
        <v>105</v>
      </c>
      <c r="E53" s="16">
        <v>37</v>
      </c>
      <c r="F53" s="16">
        <v>8</v>
      </c>
      <c r="G53" s="16">
        <v>8</v>
      </c>
      <c r="H53" s="16">
        <v>0</v>
      </c>
      <c r="I53" s="16">
        <v>0</v>
      </c>
      <c r="J53" s="16">
        <v>0</v>
      </c>
      <c r="K53" s="16">
        <v>152</v>
      </c>
      <c r="L53" s="16">
        <v>54</v>
      </c>
      <c r="M53" s="16">
        <v>13</v>
      </c>
      <c r="N53" s="16">
        <v>9</v>
      </c>
      <c r="O53" s="16">
        <v>0</v>
      </c>
      <c r="P53" s="16">
        <v>0</v>
      </c>
      <c r="Q53" s="16">
        <v>0</v>
      </c>
    </row>
    <row r="54" spans="1:23" x14ac:dyDescent="0.35">
      <c r="A54" s="16" t="s">
        <v>100</v>
      </c>
      <c r="B54" s="39">
        <f t="shared" si="4"/>
        <v>143</v>
      </c>
      <c r="C54" s="39">
        <f t="shared" si="5"/>
        <v>169</v>
      </c>
      <c r="D54" s="16">
        <v>93</v>
      </c>
      <c r="E54" s="16">
        <v>49</v>
      </c>
      <c r="F54" s="16">
        <v>1</v>
      </c>
      <c r="G54" s="16">
        <v>0</v>
      </c>
      <c r="H54" s="16">
        <v>0</v>
      </c>
      <c r="I54" s="16">
        <v>0</v>
      </c>
      <c r="J54" s="16">
        <v>0</v>
      </c>
      <c r="K54" s="16">
        <v>105</v>
      </c>
      <c r="L54" s="16">
        <v>63</v>
      </c>
      <c r="M54" s="16">
        <v>1</v>
      </c>
      <c r="N54" s="16">
        <v>0</v>
      </c>
      <c r="O54" s="16">
        <v>0</v>
      </c>
      <c r="P54" s="16">
        <v>0</v>
      </c>
      <c r="Q54" s="16">
        <v>0</v>
      </c>
    </row>
    <row r="55" spans="1:23" x14ac:dyDescent="0.35">
      <c r="A55" s="16" t="s">
        <v>46</v>
      </c>
      <c r="B55" s="39">
        <f t="shared" si="4"/>
        <v>416</v>
      </c>
      <c r="C55" s="39">
        <f t="shared" si="5"/>
        <v>636</v>
      </c>
      <c r="D55" s="16">
        <v>237</v>
      </c>
      <c r="E55" s="16">
        <v>87</v>
      </c>
      <c r="F55" s="16">
        <v>23</v>
      </c>
      <c r="G55" s="16">
        <v>69</v>
      </c>
      <c r="H55" s="16">
        <v>0</v>
      </c>
      <c r="I55" s="16">
        <v>0</v>
      </c>
      <c r="J55" s="16">
        <v>0</v>
      </c>
      <c r="K55" s="16">
        <v>361</v>
      </c>
      <c r="L55" s="16">
        <v>139</v>
      </c>
      <c r="M55" s="16">
        <v>36</v>
      </c>
      <c r="N55" s="16">
        <v>100</v>
      </c>
      <c r="O55" s="16">
        <v>0</v>
      </c>
      <c r="P55" s="16">
        <v>0</v>
      </c>
      <c r="Q55" s="16">
        <v>0</v>
      </c>
    </row>
    <row r="56" spans="1:23" x14ac:dyDescent="0.35">
      <c r="A56" s="37">
        <v>3754</v>
      </c>
      <c r="B56" s="38">
        <f>SUM(B57:B61)</f>
        <v>293</v>
      </c>
      <c r="C56" s="38">
        <f>SUM(C57:C61)</f>
        <v>465</v>
      </c>
      <c r="D56" s="38">
        <f t="shared" ref="D56:Q56" si="6">SUM(D57:D59)</f>
        <v>74</v>
      </c>
      <c r="E56" s="38">
        <f t="shared" si="6"/>
        <v>31</v>
      </c>
      <c r="F56" s="38">
        <f t="shared" si="6"/>
        <v>1</v>
      </c>
      <c r="G56" s="19">
        <f t="shared" si="6"/>
        <v>3</v>
      </c>
      <c r="H56" s="19">
        <f t="shared" si="6"/>
        <v>0</v>
      </c>
      <c r="I56" s="19">
        <f t="shared" si="6"/>
        <v>0</v>
      </c>
      <c r="J56" s="19">
        <f t="shared" si="6"/>
        <v>0</v>
      </c>
      <c r="K56" s="19">
        <f t="shared" si="6"/>
        <v>100</v>
      </c>
      <c r="L56" s="19">
        <f t="shared" si="6"/>
        <v>38</v>
      </c>
      <c r="M56" s="19">
        <f t="shared" si="6"/>
        <v>1</v>
      </c>
      <c r="N56" s="19">
        <f t="shared" si="6"/>
        <v>6</v>
      </c>
      <c r="O56" s="19">
        <f t="shared" si="6"/>
        <v>0</v>
      </c>
      <c r="P56" s="19">
        <f t="shared" si="6"/>
        <v>0</v>
      </c>
      <c r="Q56" s="19">
        <f t="shared" si="6"/>
        <v>0</v>
      </c>
    </row>
    <row r="57" spans="1:23" x14ac:dyDescent="0.35">
      <c r="A57" s="16" t="s">
        <v>101</v>
      </c>
      <c r="B57" s="39">
        <f>SUM(D57:J57)</f>
        <v>18</v>
      </c>
      <c r="C57" s="39">
        <f>SUM(K57:Q57)</f>
        <v>35</v>
      </c>
      <c r="D57" s="16">
        <v>11</v>
      </c>
      <c r="E57" s="16">
        <v>6</v>
      </c>
      <c r="F57" s="16">
        <v>0</v>
      </c>
      <c r="G57" s="16">
        <v>1</v>
      </c>
      <c r="H57" s="16">
        <v>0</v>
      </c>
      <c r="I57" s="16">
        <v>0</v>
      </c>
      <c r="J57" s="16">
        <v>0</v>
      </c>
      <c r="K57" s="16">
        <v>24</v>
      </c>
      <c r="L57" s="16">
        <v>8</v>
      </c>
      <c r="M57" s="16">
        <v>0</v>
      </c>
      <c r="N57" s="16">
        <v>3</v>
      </c>
      <c r="O57" s="16">
        <v>0</v>
      </c>
      <c r="P57" s="16">
        <v>0</v>
      </c>
      <c r="Q57" s="16">
        <v>0</v>
      </c>
      <c r="R57" s="15"/>
      <c r="S57" s="15"/>
      <c r="T57" s="15"/>
      <c r="U57" s="15"/>
      <c r="V57" s="15"/>
      <c r="W57" s="15"/>
    </row>
    <row r="58" spans="1:23" x14ac:dyDescent="0.35">
      <c r="A58" s="16" t="s">
        <v>47</v>
      </c>
      <c r="B58" s="39">
        <f>SUM(D58:J58)</f>
        <v>17</v>
      </c>
      <c r="C58" s="39">
        <f>SUM(K58:Q58)</f>
        <v>21</v>
      </c>
      <c r="D58" s="16">
        <v>7</v>
      </c>
      <c r="E58" s="16">
        <v>7</v>
      </c>
      <c r="F58" s="16">
        <v>1</v>
      </c>
      <c r="G58" s="16">
        <v>2</v>
      </c>
      <c r="H58" s="16">
        <v>0</v>
      </c>
      <c r="I58" s="16">
        <v>0</v>
      </c>
      <c r="J58" s="16">
        <v>0</v>
      </c>
      <c r="K58" s="16">
        <v>9</v>
      </c>
      <c r="L58" s="16">
        <v>8</v>
      </c>
      <c r="M58" s="16">
        <v>1</v>
      </c>
      <c r="N58" s="16">
        <v>3</v>
      </c>
      <c r="O58" s="16">
        <v>0</v>
      </c>
      <c r="P58" s="16">
        <v>0</v>
      </c>
      <c r="Q58" s="16">
        <v>0</v>
      </c>
    </row>
    <row r="59" spans="1:23" x14ac:dyDescent="0.35">
      <c r="A59" s="16" t="s">
        <v>102</v>
      </c>
      <c r="B59" s="39">
        <f>SUM(D59:J59)</f>
        <v>74</v>
      </c>
      <c r="C59" s="39">
        <f>SUM(K59:Q59)</f>
        <v>89</v>
      </c>
      <c r="D59" s="16">
        <v>56</v>
      </c>
      <c r="E59" s="16">
        <v>18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67</v>
      </c>
      <c r="L59" s="16">
        <v>22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</row>
    <row r="60" spans="1:23" x14ac:dyDescent="0.35">
      <c r="A60" s="16" t="s">
        <v>48</v>
      </c>
      <c r="B60" s="39">
        <f>SUM(D60:J60)</f>
        <v>141</v>
      </c>
      <c r="C60" s="39">
        <f>SUM(K60:Q60)</f>
        <v>249</v>
      </c>
      <c r="D60" s="16">
        <v>83</v>
      </c>
      <c r="E60" s="16">
        <v>26</v>
      </c>
      <c r="F60" s="16">
        <v>4</v>
      </c>
      <c r="G60" s="16">
        <v>28</v>
      </c>
      <c r="H60" s="16">
        <v>0</v>
      </c>
      <c r="I60" s="16">
        <v>0</v>
      </c>
      <c r="J60" s="16">
        <v>0</v>
      </c>
      <c r="K60" s="16">
        <v>144</v>
      </c>
      <c r="L60" s="16">
        <v>47</v>
      </c>
      <c r="M60" s="16">
        <v>9</v>
      </c>
      <c r="N60" s="16">
        <v>49</v>
      </c>
      <c r="O60" s="16">
        <v>0</v>
      </c>
      <c r="P60" s="16">
        <v>0</v>
      </c>
      <c r="Q60" s="16">
        <v>0</v>
      </c>
    </row>
    <row r="61" spans="1:23" x14ac:dyDescent="0.35">
      <c r="A61" s="16" t="s">
        <v>49</v>
      </c>
      <c r="B61" s="39">
        <f>SUM(D61:J61)</f>
        <v>43</v>
      </c>
      <c r="C61" s="39">
        <f>SUM(K61:Q61)</f>
        <v>71</v>
      </c>
      <c r="D61" s="16">
        <v>25</v>
      </c>
      <c r="E61" s="16">
        <v>12</v>
      </c>
      <c r="F61" s="16">
        <v>2</v>
      </c>
      <c r="G61" s="16">
        <v>4</v>
      </c>
      <c r="H61" s="16">
        <v>0</v>
      </c>
      <c r="I61" s="16">
        <v>0</v>
      </c>
      <c r="J61" s="16">
        <v>0</v>
      </c>
      <c r="K61" s="16">
        <v>43</v>
      </c>
      <c r="L61" s="16">
        <v>18</v>
      </c>
      <c r="M61" s="16">
        <v>4</v>
      </c>
      <c r="N61" s="16">
        <v>6</v>
      </c>
      <c r="O61" s="16">
        <v>0</v>
      </c>
      <c r="P61" s="16">
        <v>0</v>
      </c>
      <c r="Q61" s="16">
        <v>0</v>
      </c>
    </row>
    <row r="62" spans="1:23" x14ac:dyDescent="0.35">
      <c r="A62" s="37">
        <v>3755</v>
      </c>
      <c r="B62" s="38">
        <f>D62+E62+F62+G62+H62+I62</f>
        <v>121</v>
      </c>
      <c r="C62" s="38">
        <f>K62+L62+M62+N62+O62+P62</f>
        <v>186</v>
      </c>
      <c r="D62" s="40">
        <f t="shared" ref="D62:Q62" si="7">SUM(D63:D65)</f>
        <v>54</v>
      </c>
      <c r="E62" s="40">
        <f t="shared" si="7"/>
        <v>19</v>
      </c>
      <c r="F62" s="40">
        <f t="shared" si="7"/>
        <v>13</v>
      </c>
      <c r="G62" s="32">
        <f t="shared" si="7"/>
        <v>35</v>
      </c>
      <c r="H62" s="32">
        <f t="shared" si="7"/>
        <v>0</v>
      </c>
      <c r="I62" s="32">
        <f t="shared" si="7"/>
        <v>0</v>
      </c>
      <c r="J62" s="32">
        <f t="shared" si="7"/>
        <v>0</v>
      </c>
      <c r="K62" s="32">
        <f t="shared" si="7"/>
        <v>82</v>
      </c>
      <c r="L62" s="32">
        <f t="shared" si="7"/>
        <v>30</v>
      </c>
      <c r="M62" s="32">
        <f t="shared" si="7"/>
        <v>25</v>
      </c>
      <c r="N62" s="32">
        <f t="shared" si="7"/>
        <v>49</v>
      </c>
      <c r="O62" s="32">
        <f t="shared" si="7"/>
        <v>0</v>
      </c>
      <c r="P62" s="32">
        <f t="shared" si="7"/>
        <v>0</v>
      </c>
      <c r="Q62" s="32">
        <f t="shared" si="7"/>
        <v>0</v>
      </c>
    </row>
    <row r="63" spans="1:23" x14ac:dyDescent="0.35">
      <c r="A63" s="16" t="s">
        <v>103</v>
      </c>
      <c r="B63" s="39">
        <f>D63+E63+F63+G63+H63+I63</f>
        <v>9</v>
      </c>
      <c r="C63" s="39">
        <f>K63+L63+M63+N63+O63+P63</f>
        <v>17</v>
      </c>
      <c r="D63" s="16">
        <v>3</v>
      </c>
      <c r="E63" s="16">
        <v>1</v>
      </c>
      <c r="F63" s="16">
        <v>2</v>
      </c>
      <c r="G63" s="16">
        <v>3</v>
      </c>
      <c r="H63" s="16">
        <v>0</v>
      </c>
      <c r="I63" s="16">
        <v>0</v>
      </c>
      <c r="J63" s="16">
        <v>0</v>
      </c>
      <c r="K63" s="16">
        <v>6</v>
      </c>
      <c r="L63" s="16">
        <v>3</v>
      </c>
      <c r="M63" s="16">
        <v>4</v>
      </c>
      <c r="N63" s="16">
        <v>4</v>
      </c>
      <c r="O63" s="16">
        <v>0</v>
      </c>
      <c r="P63" s="16">
        <v>0</v>
      </c>
      <c r="Q63" s="16">
        <v>0</v>
      </c>
    </row>
    <row r="64" spans="1:23" x14ac:dyDescent="0.35">
      <c r="A64" s="16" t="s">
        <v>86</v>
      </c>
      <c r="B64" s="39">
        <f>D64+E64+F64+G64+H64+I64</f>
        <v>38</v>
      </c>
      <c r="C64" s="39">
        <f>K64+L64+M64+N64+O64+P64</f>
        <v>50</v>
      </c>
      <c r="D64" s="16">
        <v>14</v>
      </c>
      <c r="E64" s="16">
        <v>4</v>
      </c>
      <c r="F64" s="16">
        <v>4</v>
      </c>
      <c r="G64" s="16">
        <v>16</v>
      </c>
      <c r="H64" s="16">
        <v>0</v>
      </c>
      <c r="I64" s="16">
        <v>0</v>
      </c>
      <c r="J64" s="16">
        <v>0</v>
      </c>
      <c r="K64" s="16">
        <v>19</v>
      </c>
      <c r="L64" s="16">
        <v>6</v>
      </c>
      <c r="M64" s="16">
        <v>7</v>
      </c>
      <c r="N64" s="16">
        <v>18</v>
      </c>
      <c r="O64" s="16">
        <v>0</v>
      </c>
      <c r="P64" s="16">
        <v>0</v>
      </c>
      <c r="Q64" s="16">
        <v>0</v>
      </c>
    </row>
    <row r="65" spans="1:17" x14ac:dyDescent="0.35">
      <c r="A65" s="16" t="s">
        <v>87</v>
      </c>
      <c r="B65" s="39">
        <f>D65+E65+F65+G65+H65+I65</f>
        <v>74</v>
      </c>
      <c r="C65" s="39">
        <f>K65+L65+M65+N65+O65+P65</f>
        <v>119</v>
      </c>
      <c r="D65" s="16">
        <v>37</v>
      </c>
      <c r="E65" s="16">
        <v>14</v>
      </c>
      <c r="F65" s="16">
        <v>7</v>
      </c>
      <c r="G65" s="16">
        <v>16</v>
      </c>
      <c r="H65" s="16">
        <v>0</v>
      </c>
      <c r="I65" s="16">
        <v>0</v>
      </c>
      <c r="J65" s="16">
        <v>0</v>
      </c>
      <c r="K65" s="16">
        <v>57</v>
      </c>
      <c r="L65" s="16">
        <v>21</v>
      </c>
      <c r="M65" s="16">
        <v>14</v>
      </c>
      <c r="N65" s="16">
        <v>27</v>
      </c>
      <c r="O65" s="16">
        <v>0</v>
      </c>
      <c r="P65" s="16">
        <v>0</v>
      </c>
      <c r="Q65" s="16">
        <v>0</v>
      </c>
    </row>
    <row r="66" spans="1:17" x14ac:dyDescent="0.35">
      <c r="A66" s="41" t="s">
        <v>50</v>
      </c>
      <c r="B66" s="41">
        <f t="shared" ref="B66:Q66" si="8">B4+B48+B56+B62</f>
        <v>6554</v>
      </c>
      <c r="C66" s="41">
        <f t="shared" si="8"/>
        <v>10587</v>
      </c>
      <c r="D66" s="41">
        <f t="shared" si="8"/>
        <v>3675</v>
      </c>
      <c r="E66" s="41">
        <f t="shared" si="8"/>
        <v>1613</v>
      </c>
      <c r="F66" s="41">
        <f t="shared" si="8"/>
        <v>371</v>
      </c>
      <c r="G66" s="41">
        <f t="shared" si="8"/>
        <v>707</v>
      </c>
      <c r="H66" s="41">
        <f t="shared" si="8"/>
        <v>0</v>
      </c>
      <c r="I66" s="41">
        <f t="shared" si="8"/>
        <v>4</v>
      </c>
      <c r="J66" s="41">
        <f t="shared" si="8"/>
        <v>0</v>
      </c>
      <c r="K66" s="41">
        <f t="shared" si="8"/>
        <v>5950</v>
      </c>
      <c r="L66" s="41">
        <f t="shared" si="8"/>
        <v>2607</v>
      </c>
      <c r="M66" s="41">
        <f t="shared" si="8"/>
        <v>624</v>
      </c>
      <c r="N66" s="41">
        <f t="shared" si="8"/>
        <v>1080</v>
      </c>
      <c r="O66" s="41">
        <f t="shared" si="8"/>
        <v>0</v>
      </c>
      <c r="P66" s="41">
        <f t="shared" si="8"/>
        <v>6</v>
      </c>
      <c r="Q66" s="41">
        <f t="shared" si="8"/>
        <v>0</v>
      </c>
    </row>
    <row r="68" spans="1:17" ht="20" x14ac:dyDescent="0.35">
      <c r="A68" s="3" t="s">
        <v>51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7" x14ac:dyDescent="0.35">
      <c r="A69" s="2" t="s">
        <v>52</v>
      </c>
      <c r="B69" s="1" t="s">
        <v>8</v>
      </c>
      <c r="C69" s="1"/>
      <c r="D69" s="1" t="s">
        <v>9</v>
      </c>
      <c r="E69" s="1"/>
      <c r="F69" s="1" t="s">
        <v>10</v>
      </c>
      <c r="G69" s="1"/>
      <c r="H69" s="1" t="s">
        <v>11</v>
      </c>
      <c r="I69" s="1"/>
      <c r="J69" s="1" t="s">
        <v>68</v>
      </c>
      <c r="K69" s="1"/>
      <c r="L69" s="1" t="s">
        <v>53</v>
      </c>
      <c r="M69" s="1" t="s">
        <v>54</v>
      </c>
    </row>
    <row r="70" spans="1:17" x14ac:dyDescent="0.35">
      <c r="A70" s="2"/>
      <c r="B70" s="25" t="s">
        <v>55</v>
      </c>
      <c r="C70" s="25" t="s">
        <v>7</v>
      </c>
      <c r="D70" s="25" t="s">
        <v>55</v>
      </c>
      <c r="E70" s="25" t="s">
        <v>7</v>
      </c>
      <c r="F70" s="25" t="s">
        <v>55</v>
      </c>
      <c r="G70" s="25" t="s">
        <v>7</v>
      </c>
      <c r="H70" s="25" t="s">
        <v>55</v>
      </c>
      <c r="I70" s="25" t="s">
        <v>7</v>
      </c>
      <c r="J70" s="25" t="s">
        <v>55</v>
      </c>
      <c r="K70" s="25" t="s">
        <v>7</v>
      </c>
      <c r="L70" s="1" t="s">
        <v>53</v>
      </c>
      <c r="M70" s="1" t="s">
        <v>56</v>
      </c>
    </row>
    <row r="71" spans="1:17" x14ac:dyDescent="0.35">
      <c r="A71" s="26" t="s">
        <v>104</v>
      </c>
      <c r="B71" s="26">
        <v>28</v>
      </c>
      <c r="C71" s="26">
        <v>46</v>
      </c>
      <c r="D71" s="26">
        <v>8</v>
      </c>
      <c r="E71" s="26">
        <v>13</v>
      </c>
      <c r="F71" s="26">
        <v>2</v>
      </c>
      <c r="G71" s="26">
        <v>4</v>
      </c>
      <c r="H71" s="26">
        <v>5</v>
      </c>
      <c r="I71" s="26">
        <v>8</v>
      </c>
      <c r="J71" s="26">
        <v>0</v>
      </c>
      <c r="K71" s="26">
        <v>0</v>
      </c>
      <c r="L71" s="26">
        <v>43</v>
      </c>
      <c r="M71" s="26">
        <v>71</v>
      </c>
    </row>
    <row r="72" spans="1:17" x14ac:dyDescent="0.35">
      <c r="A72" s="26" t="s">
        <v>80</v>
      </c>
      <c r="B72" s="26">
        <v>0</v>
      </c>
      <c r="C72" s="26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3</v>
      </c>
      <c r="K72" s="26">
        <v>5</v>
      </c>
      <c r="L72" s="26">
        <v>3</v>
      </c>
      <c r="M72" s="26">
        <v>5</v>
      </c>
    </row>
    <row r="73" spans="1:17" x14ac:dyDescent="0.35">
      <c r="A73" s="26" t="s">
        <v>57</v>
      </c>
      <c r="B73" s="26">
        <v>2781</v>
      </c>
      <c r="C73" s="26">
        <v>4712</v>
      </c>
      <c r="D73" s="26">
        <v>1243</v>
      </c>
      <c r="E73" s="26">
        <v>2119</v>
      </c>
      <c r="F73" s="26">
        <v>339</v>
      </c>
      <c r="G73" s="26">
        <v>594</v>
      </c>
      <c r="H73" s="26">
        <v>664</v>
      </c>
      <c r="I73" s="26">
        <v>1008</v>
      </c>
      <c r="J73" s="26">
        <v>0</v>
      </c>
      <c r="K73" s="26">
        <v>0</v>
      </c>
      <c r="L73" s="26">
        <v>5027</v>
      </c>
      <c r="M73" s="26">
        <v>8433</v>
      </c>
    </row>
    <row r="74" spans="1:17" x14ac:dyDescent="0.35">
      <c r="A74" s="26" t="s">
        <v>69</v>
      </c>
      <c r="B74" s="26">
        <v>0</v>
      </c>
      <c r="C74" s="26">
        <v>0</v>
      </c>
      <c r="D74" s="26">
        <v>0</v>
      </c>
      <c r="E74" s="26">
        <v>0</v>
      </c>
      <c r="F74" s="26">
        <v>0</v>
      </c>
      <c r="G74" s="26">
        <v>0</v>
      </c>
      <c r="H74" s="26">
        <v>1</v>
      </c>
      <c r="I74" s="26">
        <v>1</v>
      </c>
      <c r="J74" s="26">
        <v>1</v>
      </c>
      <c r="K74" s="26">
        <v>1</v>
      </c>
      <c r="L74" s="26">
        <v>2</v>
      </c>
      <c r="M74" s="26">
        <v>2</v>
      </c>
    </row>
    <row r="75" spans="1:17" x14ac:dyDescent="0.35">
      <c r="A75" s="26" t="s">
        <v>58</v>
      </c>
      <c r="B75" s="26">
        <v>741</v>
      </c>
      <c r="C75" s="26">
        <v>1376</v>
      </c>
      <c r="D75" s="26">
        <v>311</v>
      </c>
      <c r="E75" s="26">
        <v>537</v>
      </c>
      <c r="F75" s="26">
        <v>19</v>
      </c>
      <c r="G75" s="26">
        <v>35</v>
      </c>
      <c r="H75" s="26">
        <v>38</v>
      </c>
      <c r="I75" s="26">
        <v>128</v>
      </c>
      <c r="J75" s="26">
        <v>0</v>
      </c>
      <c r="K75" s="26">
        <v>0</v>
      </c>
      <c r="L75" s="26">
        <v>1109</v>
      </c>
      <c r="M75" s="26">
        <v>2076</v>
      </c>
    </row>
    <row r="76" spans="1:17" x14ac:dyDescent="0.35">
      <c r="A76" s="27" t="s">
        <v>59</v>
      </c>
      <c r="B76" s="28">
        <f t="shared" ref="B76:M76" si="9">SUM(B71:B75)</f>
        <v>3550</v>
      </c>
      <c r="C76" s="28">
        <f t="shared" si="9"/>
        <v>6134</v>
      </c>
      <c r="D76" s="28">
        <f t="shared" si="9"/>
        <v>1562</v>
      </c>
      <c r="E76" s="28">
        <f t="shared" si="9"/>
        <v>2669</v>
      </c>
      <c r="F76" s="28">
        <f t="shared" si="9"/>
        <v>360</v>
      </c>
      <c r="G76" s="28">
        <f t="shared" si="9"/>
        <v>633</v>
      </c>
      <c r="H76" s="28">
        <f t="shared" si="9"/>
        <v>708</v>
      </c>
      <c r="I76" s="28">
        <f t="shared" si="9"/>
        <v>1145</v>
      </c>
      <c r="J76" s="28">
        <f t="shared" si="9"/>
        <v>4</v>
      </c>
      <c r="K76" s="28">
        <f t="shared" si="9"/>
        <v>6</v>
      </c>
      <c r="L76" s="28">
        <f t="shared" si="9"/>
        <v>6184</v>
      </c>
      <c r="M76" s="28">
        <f t="shared" si="9"/>
        <v>10587</v>
      </c>
    </row>
  </sheetData>
  <mergeCells count="13">
    <mergeCell ref="J69:K69"/>
    <mergeCell ref="L69:L70"/>
    <mergeCell ref="M69:M70"/>
    <mergeCell ref="A69:A70"/>
    <mergeCell ref="B69:C69"/>
    <mergeCell ref="D69:E69"/>
    <mergeCell ref="F69:G69"/>
    <mergeCell ref="H69:I69"/>
    <mergeCell ref="A1:O1"/>
    <mergeCell ref="B2:C2"/>
    <mergeCell ref="D2:J2"/>
    <mergeCell ref="K2:O2"/>
    <mergeCell ref="A68:M68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2"/>
  <sheetViews>
    <sheetView zoomScale="80" zoomScaleNormal="80" workbookViewId="0">
      <pane ySplit="3" topLeftCell="A55" activePane="bottomLeft" state="frozen"/>
      <selection pane="bottomLeft" activeCell="E73" sqref="E73"/>
    </sheetView>
  </sheetViews>
  <sheetFormatPr baseColWidth="10" defaultColWidth="15.1796875" defaultRowHeight="14.5" x14ac:dyDescent="0.35"/>
  <cols>
    <col min="1" max="1" width="47.08984375" customWidth="1"/>
    <col min="2" max="2" width="12.81640625" customWidth="1"/>
    <col min="3" max="3" width="6.54296875" customWidth="1"/>
    <col min="4" max="4" width="12.26953125" customWidth="1"/>
    <col min="5" max="5" width="10.26953125" customWidth="1"/>
    <col min="6" max="6" width="11" customWidth="1"/>
    <col min="7" max="7" width="8.453125" customWidth="1"/>
    <col min="8" max="9" width="6.90625" customWidth="1"/>
    <col min="10" max="11" width="7.08984375" customWidth="1"/>
    <col min="12" max="12" width="11.54296875" customWidth="1"/>
    <col min="13" max="13" width="15.36328125" customWidth="1"/>
    <col min="14" max="15" width="12.453125" customWidth="1"/>
  </cols>
  <sheetData>
    <row r="1" spans="1:23" ht="26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  <c r="Q1" s="7"/>
    </row>
    <row r="2" spans="1:23" ht="29.9" customHeight="1" x14ac:dyDescent="0.35">
      <c r="A2" s="8" t="s">
        <v>1</v>
      </c>
      <c r="B2" s="5" t="s">
        <v>112</v>
      </c>
      <c r="C2" s="5"/>
      <c r="D2" s="4" t="s">
        <v>3</v>
      </c>
      <c r="E2" s="4"/>
      <c r="F2" s="4"/>
      <c r="G2" s="4"/>
      <c r="H2" s="4"/>
      <c r="I2" s="4"/>
      <c r="J2" s="4"/>
      <c r="K2" s="4" t="s">
        <v>4</v>
      </c>
      <c r="L2" s="4"/>
      <c r="M2" s="4"/>
      <c r="N2" s="4"/>
      <c r="O2" s="4"/>
      <c r="P2" s="9"/>
      <c r="Q2" s="9"/>
    </row>
    <row r="3" spans="1:23" x14ac:dyDescent="0.35">
      <c r="A3" s="10" t="s">
        <v>5</v>
      </c>
      <c r="B3" s="11" t="s">
        <v>6</v>
      </c>
      <c r="C3" s="12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13" t="s">
        <v>71</v>
      </c>
      <c r="I3" s="13" t="s">
        <v>12</v>
      </c>
      <c r="J3" s="13" t="s">
        <v>92</v>
      </c>
      <c r="K3" s="13" t="s">
        <v>8</v>
      </c>
      <c r="L3" s="13" t="s">
        <v>9</v>
      </c>
      <c r="M3" s="13" t="s">
        <v>10</v>
      </c>
      <c r="N3" s="13" t="s">
        <v>11</v>
      </c>
      <c r="O3" s="13" t="s">
        <v>71</v>
      </c>
      <c r="P3" s="13" t="s">
        <v>12</v>
      </c>
      <c r="Q3" s="13" t="s">
        <v>92</v>
      </c>
    </row>
    <row r="4" spans="1:23" x14ac:dyDescent="0.35">
      <c r="A4" s="14">
        <v>3734</v>
      </c>
      <c r="B4" s="14">
        <f t="shared" ref="B4:Q4" si="0">SUM(B5:B43)</f>
        <v>5004</v>
      </c>
      <c r="C4" s="14">
        <f t="shared" si="0"/>
        <v>8438</v>
      </c>
      <c r="D4" s="14">
        <f t="shared" si="0"/>
        <v>2878</v>
      </c>
      <c r="E4" s="14">
        <f t="shared" si="0"/>
        <v>1317</v>
      </c>
      <c r="F4" s="14">
        <f t="shared" si="0"/>
        <v>270</v>
      </c>
      <c r="G4" s="14">
        <f t="shared" si="0"/>
        <v>535</v>
      </c>
      <c r="H4" s="14">
        <f t="shared" si="0"/>
        <v>0</v>
      </c>
      <c r="I4" s="14">
        <f t="shared" si="0"/>
        <v>4</v>
      </c>
      <c r="J4" s="14">
        <f t="shared" si="0"/>
        <v>0</v>
      </c>
      <c r="K4" s="14">
        <f t="shared" si="0"/>
        <v>4910</v>
      </c>
      <c r="L4" s="14">
        <f t="shared" si="0"/>
        <v>2211</v>
      </c>
      <c r="M4" s="14">
        <f t="shared" si="0"/>
        <v>472</v>
      </c>
      <c r="N4" s="14">
        <f t="shared" si="0"/>
        <v>841</v>
      </c>
      <c r="O4" s="14">
        <f t="shared" si="0"/>
        <v>0</v>
      </c>
      <c r="P4" s="14">
        <f t="shared" si="0"/>
        <v>4</v>
      </c>
      <c r="Q4" s="14">
        <f t="shared" si="0"/>
        <v>0</v>
      </c>
      <c r="R4" s="15"/>
      <c r="S4" s="15"/>
      <c r="T4" s="15"/>
      <c r="U4" s="15"/>
      <c r="V4" s="15"/>
      <c r="W4" s="15"/>
    </row>
    <row r="5" spans="1:23" x14ac:dyDescent="0.35">
      <c r="A5" s="16" t="s">
        <v>13</v>
      </c>
      <c r="B5" s="36">
        <f t="shared" ref="B5:B43" si="1">SUM(D5:J5)</f>
        <v>11</v>
      </c>
      <c r="C5" s="17">
        <f t="shared" ref="C5:C43" si="2">SUM(K5:Q5)</f>
        <v>17</v>
      </c>
      <c r="D5" s="16">
        <v>8</v>
      </c>
      <c r="E5" s="16">
        <v>3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13</v>
      </c>
      <c r="L5" s="16">
        <v>4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</row>
    <row r="6" spans="1:23" x14ac:dyDescent="0.35">
      <c r="A6" s="16" t="s">
        <v>106</v>
      </c>
      <c r="B6" s="36">
        <f t="shared" si="1"/>
        <v>135</v>
      </c>
      <c r="C6" s="17">
        <f t="shared" si="2"/>
        <v>153</v>
      </c>
      <c r="D6" s="16">
        <v>80</v>
      </c>
      <c r="E6" s="16">
        <v>52</v>
      </c>
      <c r="F6" s="16">
        <v>3</v>
      </c>
      <c r="G6" s="16">
        <v>0</v>
      </c>
      <c r="H6" s="16">
        <v>0</v>
      </c>
      <c r="I6" s="16">
        <v>0</v>
      </c>
      <c r="J6" s="16">
        <v>0</v>
      </c>
      <c r="K6" s="16">
        <v>93</v>
      </c>
      <c r="L6" s="16">
        <v>57</v>
      </c>
      <c r="M6" s="16">
        <v>3</v>
      </c>
      <c r="N6" s="16">
        <v>0</v>
      </c>
      <c r="O6" s="16">
        <v>0</v>
      </c>
      <c r="P6" s="16">
        <v>0</v>
      </c>
      <c r="Q6" s="16">
        <v>0</v>
      </c>
    </row>
    <row r="7" spans="1:23" x14ac:dyDescent="0.35">
      <c r="A7" s="16" t="s">
        <v>14</v>
      </c>
      <c r="B7" s="36">
        <f t="shared" si="1"/>
        <v>117</v>
      </c>
      <c r="C7" s="17">
        <f t="shared" si="2"/>
        <v>180</v>
      </c>
      <c r="D7" s="16">
        <v>58</v>
      </c>
      <c r="E7" s="16">
        <v>36</v>
      </c>
      <c r="F7" s="16">
        <v>14</v>
      </c>
      <c r="G7" s="16">
        <v>9</v>
      </c>
      <c r="H7" s="16">
        <v>0</v>
      </c>
      <c r="I7" s="16">
        <v>0</v>
      </c>
      <c r="J7" s="16">
        <v>0</v>
      </c>
      <c r="K7" s="16">
        <v>89</v>
      </c>
      <c r="L7" s="16">
        <v>57</v>
      </c>
      <c r="M7" s="16">
        <v>20</v>
      </c>
      <c r="N7" s="16">
        <v>14</v>
      </c>
      <c r="O7" s="16">
        <v>0</v>
      </c>
      <c r="P7" s="16">
        <v>0</v>
      </c>
      <c r="Q7" s="16">
        <v>0</v>
      </c>
    </row>
    <row r="8" spans="1:23" x14ac:dyDescent="0.35">
      <c r="A8" s="16" t="s">
        <v>15</v>
      </c>
      <c r="B8" s="36">
        <f t="shared" si="1"/>
        <v>31</v>
      </c>
      <c r="C8" s="17">
        <f t="shared" si="2"/>
        <v>52</v>
      </c>
      <c r="D8" s="16">
        <v>22</v>
      </c>
      <c r="E8" s="16">
        <v>8</v>
      </c>
      <c r="F8" s="16">
        <v>0</v>
      </c>
      <c r="G8" s="16">
        <v>1</v>
      </c>
      <c r="H8" s="16">
        <v>0</v>
      </c>
      <c r="I8" s="16">
        <v>0</v>
      </c>
      <c r="J8" s="16">
        <v>0</v>
      </c>
      <c r="K8" s="16">
        <v>38</v>
      </c>
      <c r="L8" s="16">
        <v>12</v>
      </c>
      <c r="M8" s="16">
        <v>0</v>
      </c>
      <c r="N8" s="16">
        <v>2</v>
      </c>
      <c r="O8" s="16">
        <v>0</v>
      </c>
      <c r="P8" s="16">
        <v>0</v>
      </c>
      <c r="Q8" s="16">
        <v>0</v>
      </c>
    </row>
    <row r="9" spans="1:23" x14ac:dyDescent="0.35">
      <c r="A9" s="16" t="s">
        <v>16</v>
      </c>
      <c r="B9" s="36">
        <f t="shared" si="1"/>
        <v>122</v>
      </c>
      <c r="C9" s="17">
        <f t="shared" si="2"/>
        <v>201</v>
      </c>
      <c r="D9" s="16">
        <v>58</v>
      </c>
      <c r="E9" s="16">
        <v>31</v>
      </c>
      <c r="F9" s="16">
        <v>15</v>
      </c>
      <c r="G9" s="16">
        <v>18</v>
      </c>
      <c r="H9" s="16">
        <v>0</v>
      </c>
      <c r="I9" s="16">
        <v>0</v>
      </c>
      <c r="J9" s="16">
        <v>0</v>
      </c>
      <c r="K9" s="16">
        <v>97</v>
      </c>
      <c r="L9" s="16">
        <v>53</v>
      </c>
      <c r="M9" s="16">
        <v>25</v>
      </c>
      <c r="N9" s="16">
        <v>26</v>
      </c>
      <c r="O9" s="16">
        <v>0</v>
      </c>
      <c r="P9" s="16">
        <v>0</v>
      </c>
      <c r="Q9" s="16">
        <v>0</v>
      </c>
    </row>
    <row r="10" spans="1:23" x14ac:dyDescent="0.35">
      <c r="A10" s="16" t="s">
        <v>17</v>
      </c>
      <c r="B10" s="36">
        <f t="shared" si="1"/>
        <v>58</v>
      </c>
      <c r="C10" s="17">
        <f t="shared" si="2"/>
        <v>113</v>
      </c>
      <c r="D10" s="16">
        <v>22</v>
      </c>
      <c r="E10" s="16">
        <v>21</v>
      </c>
      <c r="F10" s="16">
        <v>13</v>
      </c>
      <c r="G10" s="16">
        <v>2</v>
      </c>
      <c r="H10" s="16">
        <v>0</v>
      </c>
      <c r="I10" s="16">
        <v>0</v>
      </c>
      <c r="J10" s="16">
        <v>0</v>
      </c>
      <c r="K10" s="16">
        <v>45</v>
      </c>
      <c r="L10" s="16">
        <v>39</v>
      </c>
      <c r="M10" s="16">
        <v>26</v>
      </c>
      <c r="N10" s="16">
        <v>3</v>
      </c>
      <c r="O10" s="16">
        <v>0</v>
      </c>
      <c r="P10" s="16">
        <v>0</v>
      </c>
      <c r="Q10" s="16">
        <v>0</v>
      </c>
    </row>
    <row r="11" spans="1:23" x14ac:dyDescent="0.35">
      <c r="A11" s="16" t="s">
        <v>18</v>
      </c>
      <c r="B11" s="36">
        <f t="shared" si="1"/>
        <v>644</v>
      </c>
      <c r="C11" s="17">
        <f t="shared" si="2"/>
        <v>1185</v>
      </c>
      <c r="D11" s="16">
        <v>367</v>
      </c>
      <c r="E11" s="16">
        <v>156</v>
      </c>
      <c r="F11" s="16">
        <v>39</v>
      </c>
      <c r="G11" s="16">
        <v>82</v>
      </c>
      <c r="H11" s="16">
        <v>0</v>
      </c>
      <c r="I11" s="16">
        <v>0</v>
      </c>
      <c r="J11" s="16">
        <v>0</v>
      </c>
      <c r="K11" s="16">
        <v>684</v>
      </c>
      <c r="L11" s="16">
        <v>288</v>
      </c>
      <c r="M11" s="16">
        <v>78</v>
      </c>
      <c r="N11" s="16">
        <v>135</v>
      </c>
      <c r="O11" s="16">
        <v>0</v>
      </c>
      <c r="P11" s="16">
        <v>0</v>
      </c>
      <c r="Q11" s="16">
        <v>0</v>
      </c>
    </row>
    <row r="12" spans="1:23" x14ac:dyDescent="0.35">
      <c r="A12" s="16" t="s">
        <v>20</v>
      </c>
      <c r="B12" s="36">
        <f t="shared" si="1"/>
        <v>35</v>
      </c>
      <c r="C12" s="17">
        <f t="shared" si="2"/>
        <v>57</v>
      </c>
      <c r="D12" s="16">
        <v>19</v>
      </c>
      <c r="E12" s="16">
        <v>10</v>
      </c>
      <c r="F12" s="16">
        <v>1</v>
      </c>
      <c r="G12" s="16">
        <v>5</v>
      </c>
      <c r="H12" s="16">
        <v>0</v>
      </c>
      <c r="I12" s="16">
        <v>0</v>
      </c>
      <c r="J12" s="16">
        <v>0</v>
      </c>
      <c r="K12" s="16">
        <v>32</v>
      </c>
      <c r="L12" s="16">
        <v>16</v>
      </c>
      <c r="M12" s="16">
        <v>1</v>
      </c>
      <c r="N12" s="16">
        <v>8</v>
      </c>
      <c r="O12" s="16">
        <v>0</v>
      </c>
      <c r="P12" s="16">
        <v>0</v>
      </c>
      <c r="Q12" s="16">
        <v>0</v>
      </c>
    </row>
    <row r="13" spans="1:23" x14ac:dyDescent="0.35">
      <c r="A13" s="16" t="s">
        <v>21</v>
      </c>
      <c r="B13" s="36">
        <f t="shared" si="1"/>
        <v>330</v>
      </c>
      <c r="C13" s="17">
        <f t="shared" si="2"/>
        <v>560</v>
      </c>
      <c r="D13" s="16">
        <v>204</v>
      </c>
      <c r="E13" s="16">
        <v>81</v>
      </c>
      <c r="F13" s="16">
        <v>10</v>
      </c>
      <c r="G13" s="16">
        <v>35</v>
      </c>
      <c r="H13" s="16">
        <v>0</v>
      </c>
      <c r="I13" s="16">
        <v>0</v>
      </c>
      <c r="J13" s="16">
        <v>0</v>
      </c>
      <c r="K13" s="16">
        <v>352</v>
      </c>
      <c r="L13" s="16">
        <v>138</v>
      </c>
      <c r="M13" s="16">
        <v>15</v>
      </c>
      <c r="N13" s="16">
        <v>55</v>
      </c>
      <c r="O13" s="16">
        <v>0</v>
      </c>
      <c r="P13" s="16">
        <v>0</v>
      </c>
      <c r="Q13" s="16">
        <v>0</v>
      </c>
    </row>
    <row r="14" spans="1:23" x14ac:dyDescent="0.35">
      <c r="A14" s="16" t="s">
        <v>62</v>
      </c>
      <c r="B14" s="36">
        <f t="shared" si="1"/>
        <v>2</v>
      </c>
      <c r="C14" s="17">
        <f t="shared" si="2"/>
        <v>2</v>
      </c>
      <c r="D14" s="16">
        <v>2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2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</row>
    <row r="15" spans="1:23" x14ac:dyDescent="0.35">
      <c r="A15" s="16" t="s">
        <v>63</v>
      </c>
      <c r="B15" s="36">
        <f t="shared" si="1"/>
        <v>1</v>
      </c>
      <c r="C15" s="17">
        <f t="shared" si="2"/>
        <v>1</v>
      </c>
      <c r="D15" s="16">
        <v>1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1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</row>
    <row r="16" spans="1:23" x14ac:dyDescent="0.35">
      <c r="A16" s="16" t="s">
        <v>22</v>
      </c>
      <c r="B16" s="36">
        <f t="shared" si="1"/>
        <v>131</v>
      </c>
      <c r="C16" s="17">
        <f t="shared" si="2"/>
        <v>231</v>
      </c>
      <c r="D16" s="16">
        <v>77</v>
      </c>
      <c r="E16" s="16">
        <v>33</v>
      </c>
      <c r="F16" s="16">
        <v>8</v>
      </c>
      <c r="G16" s="16">
        <v>13</v>
      </c>
      <c r="H16" s="16">
        <v>0</v>
      </c>
      <c r="I16" s="16">
        <v>0</v>
      </c>
      <c r="J16" s="16">
        <v>0</v>
      </c>
      <c r="K16" s="16">
        <v>137</v>
      </c>
      <c r="L16" s="16">
        <v>58</v>
      </c>
      <c r="M16" s="16">
        <v>14</v>
      </c>
      <c r="N16" s="16">
        <v>22</v>
      </c>
      <c r="O16" s="16">
        <v>0</v>
      </c>
      <c r="P16" s="16">
        <v>0</v>
      </c>
      <c r="Q16" s="16">
        <v>0</v>
      </c>
    </row>
    <row r="17" spans="1:17" x14ac:dyDescent="0.35">
      <c r="A17" s="16" t="s">
        <v>23</v>
      </c>
      <c r="B17" s="36">
        <f t="shared" si="1"/>
        <v>80</v>
      </c>
      <c r="C17" s="17">
        <f t="shared" si="2"/>
        <v>144</v>
      </c>
      <c r="D17" s="16">
        <v>36</v>
      </c>
      <c r="E17" s="16">
        <v>25</v>
      </c>
      <c r="F17" s="16">
        <v>9</v>
      </c>
      <c r="G17" s="16">
        <v>10</v>
      </c>
      <c r="H17" s="16">
        <v>0</v>
      </c>
      <c r="I17" s="16">
        <v>0</v>
      </c>
      <c r="J17" s="16">
        <v>0</v>
      </c>
      <c r="K17" s="16">
        <v>69</v>
      </c>
      <c r="L17" s="16">
        <v>47</v>
      </c>
      <c r="M17" s="16">
        <v>14</v>
      </c>
      <c r="N17" s="16">
        <v>14</v>
      </c>
      <c r="O17" s="16">
        <v>0</v>
      </c>
      <c r="P17" s="16">
        <v>0</v>
      </c>
      <c r="Q17" s="16">
        <v>0</v>
      </c>
    </row>
    <row r="18" spans="1:17" x14ac:dyDescent="0.35">
      <c r="A18" s="16" t="s">
        <v>24</v>
      </c>
      <c r="B18" s="36">
        <f t="shared" si="1"/>
        <v>46</v>
      </c>
      <c r="C18" s="17">
        <f t="shared" si="2"/>
        <v>81</v>
      </c>
      <c r="D18" s="16">
        <v>25</v>
      </c>
      <c r="E18" s="16">
        <v>12</v>
      </c>
      <c r="F18" s="16">
        <v>7</v>
      </c>
      <c r="G18" s="16">
        <v>2</v>
      </c>
      <c r="H18" s="16">
        <v>0</v>
      </c>
      <c r="I18" s="16">
        <v>0</v>
      </c>
      <c r="J18" s="16">
        <v>0</v>
      </c>
      <c r="K18" s="16">
        <v>42</v>
      </c>
      <c r="L18" s="16">
        <v>24</v>
      </c>
      <c r="M18" s="16">
        <v>12</v>
      </c>
      <c r="N18" s="16">
        <v>3</v>
      </c>
      <c r="O18" s="16">
        <v>0</v>
      </c>
      <c r="P18" s="16">
        <v>0</v>
      </c>
      <c r="Q18" s="16">
        <v>0</v>
      </c>
    </row>
    <row r="19" spans="1:17" x14ac:dyDescent="0.35">
      <c r="A19" s="16" t="s">
        <v>25</v>
      </c>
      <c r="B19" s="36">
        <f t="shared" si="1"/>
        <v>185</v>
      </c>
      <c r="C19" s="17">
        <f t="shared" si="2"/>
        <v>285</v>
      </c>
      <c r="D19" s="16">
        <v>98</v>
      </c>
      <c r="E19" s="16">
        <v>39</v>
      </c>
      <c r="F19" s="16">
        <v>14</v>
      </c>
      <c r="G19" s="16">
        <v>34</v>
      </c>
      <c r="H19" s="16">
        <v>0</v>
      </c>
      <c r="I19" s="16">
        <v>0</v>
      </c>
      <c r="J19" s="16">
        <v>0</v>
      </c>
      <c r="K19" s="16">
        <v>149</v>
      </c>
      <c r="L19" s="16">
        <v>61</v>
      </c>
      <c r="M19" s="16">
        <v>21</v>
      </c>
      <c r="N19" s="16">
        <v>54</v>
      </c>
      <c r="O19" s="16">
        <v>0</v>
      </c>
      <c r="P19" s="16">
        <v>0</v>
      </c>
      <c r="Q19" s="16">
        <v>0</v>
      </c>
    </row>
    <row r="20" spans="1:17" x14ac:dyDescent="0.35">
      <c r="A20" s="16" t="s">
        <v>27</v>
      </c>
      <c r="B20" s="36">
        <f t="shared" si="1"/>
        <v>81</v>
      </c>
      <c r="C20" s="17">
        <f t="shared" si="2"/>
        <v>135</v>
      </c>
      <c r="D20" s="16">
        <v>33</v>
      </c>
      <c r="E20" s="16">
        <v>29</v>
      </c>
      <c r="F20" s="16">
        <v>4</v>
      </c>
      <c r="G20" s="16">
        <v>15</v>
      </c>
      <c r="H20" s="16">
        <v>0</v>
      </c>
      <c r="I20" s="16">
        <v>0</v>
      </c>
      <c r="J20" s="16">
        <v>0</v>
      </c>
      <c r="K20" s="16">
        <v>52</v>
      </c>
      <c r="L20" s="16">
        <v>51</v>
      </c>
      <c r="M20" s="16">
        <v>8</v>
      </c>
      <c r="N20" s="16">
        <v>24</v>
      </c>
      <c r="O20" s="16">
        <v>0</v>
      </c>
      <c r="P20" s="16">
        <v>0</v>
      </c>
      <c r="Q20" s="16">
        <v>0</v>
      </c>
    </row>
    <row r="21" spans="1:17" x14ac:dyDescent="0.35">
      <c r="A21" s="16" t="s">
        <v>28</v>
      </c>
      <c r="B21" s="36">
        <f t="shared" si="1"/>
        <v>104</v>
      </c>
      <c r="C21" s="17">
        <f t="shared" si="2"/>
        <v>174</v>
      </c>
      <c r="D21" s="16">
        <v>62</v>
      </c>
      <c r="E21" s="16">
        <v>29</v>
      </c>
      <c r="F21" s="16">
        <v>6</v>
      </c>
      <c r="G21" s="16">
        <v>7</v>
      </c>
      <c r="H21" s="16">
        <v>0</v>
      </c>
      <c r="I21" s="16">
        <v>0</v>
      </c>
      <c r="J21" s="16">
        <v>0</v>
      </c>
      <c r="K21" s="16">
        <v>103</v>
      </c>
      <c r="L21" s="16">
        <v>50</v>
      </c>
      <c r="M21" s="16">
        <v>11</v>
      </c>
      <c r="N21" s="16">
        <v>10</v>
      </c>
      <c r="O21" s="16">
        <v>0</v>
      </c>
      <c r="P21" s="16">
        <v>0</v>
      </c>
      <c r="Q21" s="16">
        <v>0</v>
      </c>
    </row>
    <row r="22" spans="1:17" x14ac:dyDescent="0.35">
      <c r="A22" s="16" t="s">
        <v>29</v>
      </c>
      <c r="B22" s="36">
        <f t="shared" si="1"/>
        <v>201</v>
      </c>
      <c r="C22" s="17">
        <f t="shared" si="2"/>
        <v>409</v>
      </c>
      <c r="D22" s="16">
        <v>150</v>
      </c>
      <c r="E22" s="16">
        <v>43</v>
      </c>
      <c r="F22" s="16">
        <v>1</v>
      </c>
      <c r="G22" s="16">
        <v>7</v>
      </c>
      <c r="H22" s="16">
        <v>0</v>
      </c>
      <c r="I22" s="16">
        <v>0</v>
      </c>
      <c r="J22" s="16">
        <v>0</v>
      </c>
      <c r="K22" s="16">
        <v>294</v>
      </c>
      <c r="L22" s="16">
        <v>100</v>
      </c>
      <c r="M22" s="16">
        <v>1</v>
      </c>
      <c r="N22" s="16">
        <v>14</v>
      </c>
      <c r="O22" s="16">
        <v>0</v>
      </c>
      <c r="P22" s="16">
        <v>0</v>
      </c>
      <c r="Q22" s="16">
        <v>0</v>
      </c>
    </row>
    <row r="23" spans="1:17" x14ac:dyDescent="0.35">
      <c r="A23" s="16" t="s">
        <v>30</v>
      </c>
      <c r="B23" s="36">
        <f t="shared" si="1"/>
        <v>188</v>
      </c>
      <c r="C23" s="17">
        <f t="shared" si="2"/>
        <v>399</v>
      </c>
      <c r="D23" s="16">
        <v>129</v>
      </c>
      <c r="E23" s="16">
        <v>43</v>
      </c>
      <c r="F23" s="16">
        <v>4</v>
      </c>
      <c r="G23" s="16">
        <v>12</v>
      </c>
      <c r="H23" s="16">
        <v>0</v>
      </c>
      <c r="I23" s="16">
        <v>0</v>
      </c>
      <c r="J23" s="16">
        <v>0</v>
      </c>
      <c r="K23" s="16">
        <v>284</v>
      </c>
      <c r="L23" s="16">
        <v>83</v>
      </c>
      <c r="M23" s="16">
        <v>6</v>
      </c>
      <c r="N23" s="16">
        <v>26</v>
      </c>
      <c r="O23" s="16">
        <v>0</v>
      </c>
      <c r="P23" s="16">
        <v>0</v>
      </c>
      <c r="Q23" s="16">
        <v>0</v>
      </c>
    </row>
    <row r="24" spans="1:17" x14ac:dyDescent="0.35">
      <c r="A24" s="16" t="s">
        <v>82</v>
      </c>
      <c r="B24" s="36">
        <f t="shared" si="1"/>
        <v>145</v>
      </c>
      <c r="C24" s="17">
        <f t="shared" si="2"/>
        <v>146</v>
      </c>
      <c r="D24" s="16">
        <v>62</v>
      </c>
      <c r="E24" s="16">
        <v>12</v>
      </c>
      <c r="F24" s="16">
        <v>5</v>
      </c>
      <c r="G24" s="16">
        <v>66</v>
      </c>
      <c r="H24" s="16">
        <v>0</v>
      </c>
      <c r="I24" s="16">
        <v>0</v>
      </c>
      <c r="J24" s="16">
        <v>0</v>
      </c>
      <c r="K24" s="16">
        <v>62</v>
      </c>
      <c r="L24" s="16">
        <v>13</v>
      </c>
      <c r="M24" s="16">
        <v>5</v>
      </c>
      <c r="N24" s="16">
        <v>66</v>
      </c>
      <c r="O24" s="16">
        <v>0</v>
      </c>
      <c r="P24" s="16">
        <v>0</v>
      </c>
      <c r="Q24" s="16">
        <v>0</v>
      </c>
    </row>
    <row r="25" spans="1:17" x14ac:dyDescent="0.35">
      <c r="A25" s="16" t="s">
        <v>113</v>
      </c>
      <c r="B25" s="36">
        <f t="shared" si="1"/>
        <v>1</v>
      </c>
      <c r="C25" s="17">
        <f t="shared" si="2"/>
        <v>1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1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1</v>
      </c>
      <c r="Q25" s="16">
        <v>0</v>
      </c>
    </row>
    <row r="26" spans="1:17" x14ac:dyDescent="0.35">
      <c r="A26" s="16" t="s">
        <v>76</v>
      </c>
      <c r="B26" s="36">
        <f t="shared" si="1"/>
        <v>1</v>
      </c>
      <c r="C26" s="17">
        <f t="shared" si="2"/>
        <v>1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1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1</v>
      </c>
      <c r="Q26" s="16">
        <v>0</v>
      </c>
    </row>
    <row r="27" spans="1:17" x14ac:dyDescent="0.35">
      <c r="A27" s="16" t="s">
        <v>85</v>
      </c>
      <c r="B27" s="36">
        <f t="shared" si="1"/>
        <v>2</v>
      </c>
      <c r="C27" s="17">
        <f t="shared" si="2"/>
        <v>2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2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2</v>
      </c>
      <c r="Q27" s="16">
        <v>0</v>
      </c>
    </row>
    <row r="28" spans="1:17" x14ac:dyDescent="0.35">
      <c r="A28" s="16" t="s">
        <v>31</v>
      </c>
      <c r="B28" s="36">
        <f t="shared" si="1"/>
        <v>29</v>
      </c>
      <c r="C28" s="17">
        <f t="shared" si="2"/>
        <v>50</v>
      </c>
      <c r="D28" s="16">
        <v>11</v>
      </c>
      <c r="E28" s="16">
        <v>13</v>
      </c>
      <c r="F28" s="16">
        <v>3</v>
      </c>
      <c r="G28" s="16">
        <v>2</v>
      </c>
      <c r="H28" s="16">
        <v>0</v>
      </c>
      <c r="I28" s="16">
        <v>0</v>
      </c>
      <c r="J28" s="16">
        <v>0</v>
      </c>
      <c r="K28" s="16">
        <v>18</v>
      </c>
      <c r="L28" s="16">
        <v>23</v>
      </c>
      <c r="M28" s="16">
        <v>5</v>
      </c>
      <c r="N28" s="16">
        <v>4</v>
      </c>
      <c r="O28" s="16">
        <v>0</v>
      </c>
      <c r="P28" s="16">
        <v>0</v>
      </c>
      <c r="Q28" s="16">
        <v>0</v>
      </c>
    </row>
    <row r="29" spans="1:17" x14ac:dyDescent="0.35">
      <c r="A29" s="16" t="s">
        <v>32</v>
      </c>
      <c r="B29" s="36">
        <f t="shared" si="1"/>
        <v>21</v>
      </c>
      <c r="C29" s="17">
        <f t="shared" si="2"/>
        <v>36</v>
      </c>
      <c r="D29" s="16">
        <v>10</v>
      </c>
      <c r="E29" s="16">
        <v>6</v>
      </c>
      <c r="F29" s="16">
        <v>3</v>
      </c>
      <c r="G29" s="16">
        <v>2</v>
      </c>
      <c r="H29" s="16">
        <v>0</v>
      </c>
      <c r="I29" s="16">
        <v>0</v>
      </c>
      <c r="J29" s="16">
        <v>0</v>
      </c>
      <c r="K29" s="16">
        <v>18</v>
      </c>
      <c r="L29" s="16">
        <v>11</v>
      </c>
      <c r="M29" s="16">
        <v>5</v>
      </c>
      <c r="N29" s="16">
        <v>2</v>
      </c>
      <c r="O29" s="16">
        <v>0</v>
      </c>
      <c r="P29" s="16">
        <v>0</v>
      </c>
      <c r="Q29" s="16">
        <v>0</v>
      </c>
    </row>
    <row r="30" spans="1:17" x14ac:dyDescent="0.35">
      <c r="A30" s="16" t="s">
        <v>33</v>
      </c>
      <c r="B30" s="36">
        <f t="shared" si="1"/>
        <v>45</v>
      </c>
      <c r="C30" s="17">
        <f t="shared" si="2"/>
        <v>77</v>
      </c>
      <c r="D30" s="16">
        <v>24</v>
      </c>
      <c r="E30" s="16">
        <v>9</v>
      </c>
      <c r="F30" s="16">
        <v>5</v>
      </c>
      <c r="G30" s="16">
        <v>7</v>
      </c>
      <c r="H30" s="16">
        <v>0</v>
      </c>
      <c r="I30" s="16">
        <v>0</v>
      </c>
      <c r="J30" s="16">
        <v>0</v>
      </c>
      <c r="K30" s="16">
        <v>43</v>
      </c>
      <c r="L30" s="16">
        <v>14</v>
      </c>
      <c r="M30" s="16">
        <v>9</v>
      </c>
      <c r="N30" s="16">
        <v>11</v>
      </c>
      <c r="O30" s="16">
        <v>0</v>
      </c>
      <c r="P30" s="16">
        <v>0</v>
      </c>
      <c r="Q30" s="16">
        <v>0</v>
      </c>
    </row>
    <row r="31" spans="1:17" x14ac:dyDescent="0.35">
      <c r="A31" s="16" t="s">
        <v>34</v>
      </c>
      <c r="B31" s="36">
        <f t="shared" si="1"/>
        <v>858</v>
      </c>
      <c r="C31" s="17">
        <f t="shared" si="2"/>
        <v>1378</v>
      </c>
      <c r="D31" s="16">
        <v>561</v>
      </c>
      <c r="E31" s="16">
        <v>183</v>
      </c>
      <c r="F31" s="16">
        <v>44</v>
      </c>
      <c r="G31" s="16">
        <v>70</v>
      </c>
      <c r="H31" s="16">
        <v>0</v>
      </c>
      <c r="I31" s="16">
        <v>0</v>
      </c>
      <c r="J31" s="16">
        <v>0</v>
      </c>
      <c r="K31" s="16">
        <v>910</v>
      </c>
      <c r="L31" s="16">
        <v>280</v>
      </c>
      <c r="M31" s="16">
        <v>77</v>
      </c>
      <c r="N31" s="16">
        <v>111</v>
      </c>
      <c r="O31" s="16">
        <v>0</v>
      </c>
      <c r="P31" s="16">
        <v>0</v>
      </c>
      <c r="Q31" s="16">
        <v>0</v>
      </c>
    </row>
    <row r="32" spans="1:17" x14ac:dyDescent="0.35">
      <c r="A32" s="16" t="s">
        <v>35</v>
      </c>
      <c r="B32" s="36">
        <f t="shared" si="1"/>
        <v>416</v>
      </c>
      <c r="C32" s="17">
        <f t="shared" si="2"/>
        <v>671</v>
      </c>
      <c r="D32" s="16">
        <v>177</v>
      </c>
      <c r="E32" s="16">
        <v>143</v>
      </c>
      <c r="F32" s="16">
        <v>21</v>
      </c>
      <c r="G32" s="16">
        <v>75</v>
      </c>
      <c r="H32" s="16">
        <v>0</v>
      </c>
      <c r="I32" s="16">
        <v>0</v>
      </c>
      <c r="J32" s="16">
        <v>0</v>
      </c>
      <c r="K32" s="16">
        <v>284</v>
      </c>
      <c r="L32" s="16">
        <v>237</v>
      </c>
      <c r="M32" s="16">
        <v>36</v>
      </c>
      <c r="N32" s="16">
        <v>114</v>
      </c>
      <c r="O32" s="16">
        <v>0</v>
      </c>
      <c r="P32" s="16">
        <v>0</v>
      </c>
      <c r="Q32" s="16">
        <v>0</v>
      </c>
    </row>
    <row r="33" spans="1:23" x14ac:dyDescent="0.35">
      <c r="A33" s="16" t="s">
        <v>36</v>
      </c>
      <c r="B33" s="36">
        <f t="shared" si="1"/>
        <v>31</v>
      </c>
      <c r="C33" s="17">
        <f t="shared" si="2"/>
        <v>39</v>
      </c>
      <c r="D33" s="16">
        <v>16</v>
      </c>
      <c r="E33" s="16">
        <v>11</v>
      </c>
      <c r="F33" s="16">
        <v>1</v>
      </c>
      <c r="G33" s="16">
        <v>3</v>
      </c>
      <c r="H33" s="16">
        <v>0</v>
      </c>
      <c r="I33" s="16">
        <v>0</v>
      </c>
      <c r="J33" s="16">
        <v>0</v>
      </c>
      <c r="K33" s="16">
        <v>18</v>
      </c>
      <c r="L33" s="16">
        <v>15</v>
      </c>
      <c r="M33" s="16">
        <v>2</v>
      </c>
      <c r="N33" s="16">
        <v>4</v>
      </c>
      <c r="O33" s="16">
        <v>0</v>
      </c>
      <c r="P33" s="16">
        <v>0</v>
      </c>
      <c r="Q33" s="16">
        <v>0</v>
      </c>
    </row>
    <row r="34" spans="1:23" x14ac:dyDescent="0.35">
      <c r="A34" s="16" t="s">
        <v>37</v>
      </c>
      <c r="B34" s="36">
        <f t="shared" si="1"/>
        <v>178</v>
      </c>
      <c r="C34" s="17">
        <f t="shared" si="2"/>
        <v>286</v>
      </c>
      <c r="D34" s="16">
        <v>95</v>
      </c>
      <c r="E34" s="16">
        <v>57</v>
      </c>
      <c r="F34" s="16">
        <v>9</v>
      </c>
      <c r="G34" s="16">
        <v>17</v>
      </c>
      <c r="H34" s="16">
        <v>0</v>
      </c>
      <c r="I34" s="16">
        <v>0</v>
      </c>
      <c r="J34" s="16">
        <v>0</v>
      </c>
      <c r="K34" s="16">
        <v>150</v>
      </c>
      <c r="L34" s="16">
        <v>98</v>
      </c>
      <c r="M34" s="16">
        <v>13</v>
      </c>
      <c r="N34" s="16">
        <v>25</v>
      </c>
      <c r="O34" s="16">
        <v>0</v>
      </c>
      <c r="P34" s="16">
        <v>0</v>
      </c>
      <c r="Q34" s="16">
        <v>0</v>
      </c>
    </row>
    <row r="35" spans="1:23" x14ac:dyDescent="0.35">
      <c r="A35" s="16" t="s">
        <v>38</v>
      </c>
      <c r="B35" s="36">
        <f t="shared" si="1"/>
        <v>176</v>
      </c>
      <c r="C35" s="17">
        <f t="shared" si="2"/>
        <v>560</v>
      </c>
      <c r="D35" s="16">
        <v>108</v>
      </c>
      <c r="E35" s="16">
        <v>39</v>
      </c>
      <c r="F35" s="16">
        <v>7</v>
      </c>
      <c r="G35" s="16">
        <v>22</v>
      </c>
      <c r="H35" s="16">
        <v>0</v>
      </c>
      <c r="I35" s="16">
        <v>0</v>
      </c>
      <c r="J35" s="16">
        <v>0</v>
      </c>
      <c r="K35" s="16">
        <v>355</v>
      </c>
      <c r="L35" s="16">
        <v>113</v>
      </c>
      <c r="M35" s="16">
        <v>22</v>
      </c>
      <c r="N35" s="16">
        <v>70</v>
      </c>
      <c r="O35" s="16">
        <v>0</v>
      </c>
      <c r="P35" s="16">
        <v>0</v>
      </c>
      <c r="Q35" s="16">
        <v>0</v>
      </c>
    </row>
    <row r="36" spans="1:23" x14ac:dyDescent="0.35">
      <c r="A36" s="16" t="s">
        <v>96</v>
      </c>
      <c r="B36" s="36">
        <f t="shared" si="1"/>
        <v>128</v>
      </c>
      <c r="C36" s="17">
        <f t="shared" si="2"/>
        <v>164</v>
      </c>
      <c r="D36" s="16">
        <v>79</v>
      </c>
      <c r="E36" s="16">
        <v>49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98</v>
      </c>
      <c r="L36" s="16">
        <v>66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</row>
    <row r="37" spans="1:23" x14ac:dyDescent="0.35">
      <c r="A37" s="16" t="s">
        <v>97</v>
      </c>
      <c r="B37" s="36">
        <f t="shared" si="1"/>
        <v>150</v>
      </c>
      <c r="C37" s="17">
        <f t="shared" si="2"/>
        <v>173</v>
      </c>
      <c r="D37" s="16">
        <v>114</v>
      </c>
      <c r="E37" s="16">
        <v>33</v>
      </c>
      <c r="F37" s="16">
        <v>3</v>
      </c>
      <c r="G37" s="16">
        <v>0</v>
      </c>
      <c r="H37" s="16">
        <v>0</v>
      </c>
      <c r="I37" s="16">
        <v>0</v>
      </c>
      <c r="J37" s="16">
        <v>0</v>
      </c>
      <c r="K37" s="16">
        <v>133</v>
      </c>
      <c r="L37" s="16">
        <v>37</v>
      </c>
      <c r="M37" s="16">
        <v>3</v>
      </c>
      <c r="N37" s="16">
        <v>0</v>
      </c>
      <c r="O37" s="16">
        <v>0</v>
      </c>
      <c r="P37" s="16">
        <v>0</v>
      </c>
      <c r="Q37" s="16">
        <v>0</v>
      </c>
    </row>
    <row r="38" spans="1:23" x14ac:dyDescent="0.35">
      <c r="A38" s="16" t="s">
        <v>98</v>
      </c>
      <c r="B38" s="36">
        <f t="shared" si="1"/>
        <v>148</v>
      </c>
      <c r="C38" s="17">
        <f t="shared" si="2"/>
        <v>184</v>
      </c>
      <c r="D38" s="16">
        <v>93</v>
      </c>
      <c r="E38" s="16">
        <v>53</v>
      </c>
      <c r="F38" s="16">
        <v>2</v>
      </c>
      <c r="G38" s="16">
        <v>0</v>
      </c>
      <c r="H38" s="16">
        <v>0</v>
      </c>
      <c r="I38" s="16">
        <v>0</v>
      </c>
      <c r="J38" s="16">
        <v>0</v>
      </c>
      <c r="K38" s="16">
        <v>114</v>
      </c>
      <c r="L38" s="16">
        <v>67</v>
      </c>
      <c r="M38" s="16">
        <v>3</v>
      </c>
      <c r="N38" s="16">
        <v>0</v>
      </c>
      <c r="O38" s="16">
        <v>0</v>
      </c>
      <c r="P38" s="16">
        <v>0</v>
      </c>
      <c r="Q38" s="16">
        <v>0</v>
      </c>
    </row>
    <row r="39" spans="1:23" x14ac:dyDescent="0.35">
      <c r="A39" s="16" t="s">
        <v>39</v>
      </c>
      <c r="B39" s="36">
        <f t="shared" si="1"/>
        <v>31</v>
      </c>
      <c r="C39" s="17">
        <f t="shared" si="2"/>
        <v>52</v>
      </c>
      <c r="D39" s="16">
        <v>22</v>
      </c>
      <c r="E39" s="16">
        <v>9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39</v>
      </c>
      <c r="L39" s="16">
        <v>13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</row>
    <row r="40" spans="1:23" x14ac:dyDescent="0.35">
      <c r="A40" s="16" t="s">
        <v>40</v>
      </c>
      <c r="B40" s="36">
        <f t="shared" si="1"/>
        <v>65</v>
      </c>
      <c r="C40" s="17">
        <f t="shared" si="2"/>
        <v>119</v>
      </c>
      <c r="D40" s="16">
        <v>20</v>
      </c>
      <c r="E40" s="16">
        <v>24</v>
      </c>
      <c r="F40" s="16">
        <v>13</v>
      </c>
      <c r="G40" s="16">
        <v>8</v>
      </c>
      <c r="H40" s="16">
        <v>0</v>
      </c>
      <c r="I40" s="16">
        <v>0</v>
      </c>
      <c r="J40" s="16">
        <v>0</v>
      </c>
      <c r="K40" s="16">
        <v>36</v>
      </c>
      <c r="L40" s="16">
        <v>45</v>
      </c>
      <c r="M40" s="16">
        <v>27</v>
      </c>
      <c r="N40" s="16">
        <v>11</v>
      </c>
      <c r="O40" s="16">
        <v>0</v>
      </c>
      <c r="P40" s="16">
        <v>0</v>
      </c>
      <c r="Q40" s="16">
        <v>0</v>
      </c>
    </row>
    <row r="41" spans="1:23" x14ac:dyDescent="0.35">
      <c r="A41" s="16" t="s">
        <v>41</v>
      </c>
      <c r="B41" s="36">
        <f t="shared" si="1"/>
        <v>18</v>
      </c>
      <c r="C41" s="17">
        <f t="shared" si="2"/>
        <v>31</v>
      </c>
      <c r="D41" s="16">
        <v>5</v>
      </c>
      <c r="E41" s="16">
        <v>10</v>
      </c>
      <c r="F41" s="16">
        <v>2</v>
      </c>
      <c r="G41" s="16">
        <v>1</v>
      </c>
      <c r="H41" s="16">
        <v>0</v>
      </c>
      <c r="I41" s="16">
        <v>0</v>
      </c>
      <c r="J41" s="16">
        <v>0</v>
      </c>
      <c r="K41" s="16">
        <v>9</v>
      </c>
      <c r="L41" s="16">
        <v>17</v>
      </c>
      <c r="M41" s="16">
        <v>4</v>
      </c>
      <c r="N41" s="16">
        <v>1</v>
      </c>
      <c r="O41" s="16">
        <v>0</v>
      </c>
      <c r="P41" s="16">
        <v>0</v>
      </c>
      <c r="Q41" s="16">
        <v>0</v>
      </c>
    </row>
    <row r="42" spans="1:23" x14ac:dyDescent="0.35">
      <c r="A42" s="16" t="s">
        <v>109</v>
      </c>
      <c r="B42" s="36">
        <f t="shared" si="1"/>
        <v>19</v>
      </c>
      <c r="C42" s="17">
        <f t="shared" si="2"/>
        <v>31</v>
      </c>
      <c r="D42" s="16">
        <v>8</v>
      </c>
      <c r="E42" s="16">
        <v>8</v>
      </c>
      <c r="F42" s="16">
        <v>2</v>
      </c>
      <c r="G42" s="16">
        <v>1</v>
      </c>
      <c r="H42" s="16">
        <v>0</v>
      </c>
      <c r="I42" s="16">
        <v>0</v>
      </c>
      <c r="J42" s="16">
        <v>0</v>
      </c>
      <c r="K42" s="16">
        <v>12</v>
      </c>
      <c r="L42" s="16">
        <v>14</v>
      </c>
      <c r="M42" s="16">
        <v>3</v>
      </c>
      <c r="N42" s="16">
        <v>2</v>
      </c>
      <c r="O42" s="16">
        <v>0</v>
      </c>
      <c r="P42" s="16">
        <v>0</v>
      </c>
      <c r="Q42" s="16">
        <v>0</v>
      </c>
    </row>
    <row r="43" spans="1:23" x14ac:dyDescent="0.35">
      <c r="A43" s="16" t="s">
        <v>42</v>
      </c>
      <c r="B43" s="36">
        <f t="shared" si="1"/>
        <v>40</v>
      </c>
      <c r="C43" s="17">
        <f t="shared" si="2"/>
        <v>58</v>
      </c>
      <c r="D43" s="16">
        <v>22</v>
      </c>
      <c r="E43" s="16">
        <v>7</v>
      </c>
      <c r="F43" s="16">
        <v>2</v>
      </c>
      <c r="G43" s="16">
        <v>9</v>
      </c>
      <c r="H43" s="16">
        <v>0</v>
      </c>
      <c r="I43" s="16">
        <v>0</v>
      </c>
      <c r="J43" s="16">
        <v>0</v>
      </c>
      <c r="K43" s="16">
        <v>35</v>
      </c>
      <c r="L43" s="16">
        <v>10</v>
      </c>
      <c r="M43" s="16">
        <v>3</v>
      </c>
      <c r="N43" s="16">
        <v>10</v>
      </c>
      <c r="O43" s="16">
        <v>0</v>
      </c>
      <c r="P43" s="16">
        <v>0</v>
      </c>
      <c r="Q43" s="16">
        <v>0</v>
      </c>
    </row>
    <row r="44" spans="1:23" x14ac:dyDescent="0.35">
      <c r="A44" s="37">
        <v>3753</v>
      </c>
      <c r="B44" s="38">
        <f t="shared" ref="B44:Q44" si="3">SUM(B45:B51)</f>
        <v>881</v>
      </c>
      <c r="C44" s="38">
        <f t="shared" si="3"/>
        <v>1305</v>
      </c>
      <c r="D44" s="38">
        <f t="shared" si="3"/>
        <v>530</v>
      </c>
      <c r="E44" s="38">
        <f t="shared" si="3"/>
        <v>241</v>
      </c>
      <c r="F44" s="38">
        <f t="shared" si="3"/>
        <v>37</v>
      </c>
      <c r="G44" s="19">
        <f t="shared" si="3"/>
        <v>73</v>
      </c>
      <c r="H44" s="19">
        <f t="shared" si="3"/>
        <v>0</v>
      </c>
      <c r="I44" s="19">
        <f t="shared" si="3"/>
        <v>0</v>
      </c>
      <c r="J44" s="19">
        <f t="shared" si="3"/>
        <v>0</v>
      </c>
      <c r="K44" s="19">
        <f t="shared" si="3"/>
        <v>764</v>
      </c>
      <c r="L44" s="19">
        <f t="shared" si="3"/>
        <v>370</v>
      </c>
      <c r="M44" s="19">
        <f t="shared" si="3"/>
        <v>60</v>
      </c>
      <c r="N44" s="19">
        <f t="shared" si="3"/>
        <v>111</v>
      </c>
      <c r="O44" s="19">
        <f t="shared" si="3"/>
        <v>0</v>
      </c>
      <c r="P44" s="19">
        <f t="shared" si="3"/>
        <v>0</v>
      </c>
      <c r="Q44" s="19">
        <f t="shared" si="3"/>
        <v>0</v>
      </c>
    </row>
    <row r="45" spans="1:23" x14ac:dyDescent="0.35">
      <c r="A45" s="16" t="s">
        <v>110</v>
      </c>
      <c r="B45" s="39">
        <f t="shared" ref="B45:B51" si="4">SUM(D45:J45)</f>
        <v>4</v>
      </c>
      <c r="C45" s="39">
        <f t="shared" ref="C45:C51" si="5">SUM(K45:Q45)</f>
        <v>5</v>
      </c>
      <c r="D45" s="16">
        <v>3</v>
      </c>
      <c r="E45" s="16">
        <v>1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4</v>
      </c>
      <c r="L45" s="16">
        <v>1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5"/>
      <c r="S45" s="15"/>
      <c r="T45" s="15"/>
      <c r="U45" s="15"/>
      <c r="V45" s="15"/>
      <c r="W45" s="15"/>
    </row>
    <row r="46" spans="1:23" x14ac:dyDescent="0.35">
      <c r="A46" s="16" t="s">
        <v>43</v>
      </c>
      <c r="B46" s="39">
        <f t="shared" si="4"/>
        <v>84</v>
      </c>
      <c r="C46" s="39">
        <f t="shared" si="5"/>
        <v>133</v>
      </c>
      <c r="D46" s="16">
        <v>41</v>
      </c>
      <c r="E46" s="16">
        <v>26</v>
      </c>
      <c r="F46" s="16">
        <v>8</v>
      </c>
      <c r="G46" s="16">
        <v>9</v>
      </c>
      <c r="H46" s="16">
        <v>0</v>
      </c>
      <c r="I46" s="16">
        <v>0</v>
      </c>
      <c r="J46" s="16">
        <v>0</v>
      </c>
      <c r="K46" s="16">
        <v>65</v>
      </c>
      <c r="L46" s="16">
        <v>41</v>
      </c>
      <c r="M46" s="16">
        <v>12</v>
      </c>
      <c r="N46" s="16">
        <v>15</v>
      </c>
      <c r="O46" s="16">
        <v>0</v>
      </c>
      <c r="P46" s="16">
        <v>0</v>
      </c>
      <c r="Q46" s="16">
        <v>0</v>
      </c>
    </row>
    <row r="47" spans="1:23" x14ac:dyDescent="0.35">
      <c r="A47" s="16" t="s">
        <v>111</v>
      </c>
      <c r="B47" s="39">
        <f t="shared" si="4"/>
        <v>139</v>
      </c>
      <c r="C47" s="39">
        <f t="shared" si="5"/>
        <v>153</v>
      </c>
      <c r="D47" s="16">
        <v>100</v>
      </c>
      <c r="E47" s="16">
        <v>39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108</v>
      </c>
      <c r="L47" s="16">
        <v>45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</row>
    <row r="48" spans="1:23" x14ac:dyDescent="0.35">
      <c r="A48" s="16" t="s">
        <v>44</v>
      </c>
      <c r="B48" s="39">
        <f t="shared" si="4"/>
        <v>43</v>
      </c>
      <c r="C48" s="39">
        <f t="shared" si="5"/>
        <v>60</v>
      </c>
      <c r="D48" s="16">
        <v>20</v>
      </c>
      <c r="E48" s="16">
        <v>14</v>
      </c>
      <c r="F48" s="16">
        <v>7</v>
      </c>
      <c r="G48" s="16">
        <v>2</v>
      </c>
      <c r="H48" s="16">
        <v>0</v>
      </c>
      <c r="I48" s="16">
        <v>0</v>
      </c>
      <c r="J48" s="16">
        <v>0</v>
      </c>
      <c r="K48" s="16">
        <v>28</v>
      </c>
      <c r="L48" s="16">
        <v>21</v>
      </c>
      <c r="M48" s="16">
        <v>8</v>
      </c>
      <c r="N48" s="16">
        <v>3</v>
      </c>
      <c r="O48" s="16">
        <v>0</v>
      </c>
      <c r="P48" s="16">
        <v>0</v>
      </c>
      <c r="Q48" s="16">
        <v>0</v>
      </c>
    </row>
    <row r="49" spans="1:23" x14ac:dyDescent="0.35">
      <c r="A49" s="16" t="s">
        <v>45</v>
      </c>
      <c r="B49" s="39">
        <f t="shared" si="4"/>
        <v>132</v>
      </c>
      <c r="C49" s="39">
        <f t="shared" si="5"/>
        <v>215</v>
      </c>
      <c r="D49" s="16">
        <v>85</v>
      </c>
      <c r="E49" s="16">
        <v>30</v>
      </c>
      <c r="F49" s="16">
        <v>6</v>
      </c>
      <c r="G49" s="16">
        <v>11</v>
      </c>
      <c r="H49" s="16">
        <v>0</v>
      </c>
      <c r="I49" s="16">
        <v>0</v>
      </c>
      <c r="J49" s="16">
        <v>0</v>
      </c>
      <c r="K49" s="16">
        <v>136</v>
      </c>
      <c r="L49" s="16">
        <v>53</v>
      </c>
      <c r="M49" s="16">
        <v>12</v>
      </c>
      <c r="N49" s="16">
        <v>14</v>
      </c>
      <c r="O49" s="16">
        <v>0</v>
      </c>
      <c r="P49" s="16">
        <v>0</v>
      </c>
      <c r="Q49" s="16">
        <v>0</v>
      </c>
    </row>
    <row r="50" spans="1:23" x14ac:dyDescent="0.35">
      <c r="A50" s="16" t="s">
        <v>100</v>
      </c>
      <c r="B50" s="39">
        <f t="shared" si="4"/>
        <v>141</v>
      </c>
      <c r="C50" s="39">
        <f t="shared" si="5"/>
        <v>174</v>
      </c>
      <c r="D50" s="16">
        <v>88</v>
      </c>
      <c r="E50" s="16">
        <v>53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102</v>
      </c>
      <c r="L50" s="16">
        <v>72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</row>
    <row r="51" spans="1:23" x14ac:dyDescent="0.35">
      <c r="A51" s="16" t="s">
        <v>46</v>
      </c>
      <c r="B51" s="39">
        <f t="shared" si="4"/>
        <v>338</v>
      </c>
      <c r="C51" s="39">
        <f t="shared" si="5"/>
        <v>565</v>
      </c>
      <c r="D51" s="16">
        <v>193</v>
      </c>
      <c r="E51" s="16">
        <v>78</v>
      </c>
      <c r="F51" s="16">
        <v>16</v>
      </c>
      <c r="G51" s="16">
        <v>51</v>
      </c>
      <c r="H51" s="16">
        <v>0</v>
      </c>
      <c r="I51" s="16">
        <v>0</v>
      </c>
      <c r="J51" s="16">
        <v>0</v>
      </c>
      <c r="K51" s="16">
        <v>321</v>
      </c>
      <c r="L51" s="16">
        <v>137</v>
      </c>
      <c r="M51" s="16">
        <v>28</v>
      </c>
      <c r="N51" s="16">
        <v>79</v>
      </c>
      <c r="O51" s="16">
        <v>0</v>
      </c>
      <c r="P51" s="16">
        <v>0</v>
      </c>
      <c r="Q51" s="16">
        <v>0</v>
      </c>
    </row>
    <row r="52" spans="1:23" x14ac:dyDescent="0.35">
      <c r="A52" s="37">
        <v>3754</v>
      </c>
      <c r="B52" s="38">
        <f>SUM(B53:B57)</f>
        <v>264</v>
      </c>
      <c r="C52" s="38">
        <f>SUM(C53:C57)</f>
        <v>436</v>
      </c>
      <c r="D52" s="38">
        <f t="shared" ref="D52:Q52" si="6">SUM(D53:D55)</f>
        <v>71</v>
      </c>
      <c r="E52" s="38">
        <f t="shared" si="6"/>
        <v>29</v>
      </c>
      <c r="F52" s="38">
        <f t="shared" si="6"/>
        <v>0</v>
      </c>
      <c r="G52" s="19">
        <f t="shared" si="6"/>
        <v>3</v>
      </c>
      <c r="H52" s="19">
        <f t="shared" si="6"/>
        <v>0</v>
      </c>
      <c r="I52" s="19">
        <f t="shared" si="6"/>
        <v>0</v>
      </c>
      <c r="J52" s="19">
        <f t="shared" si="6"/>
        <v>0</v>
      </c>
      <c r="K52" s="19">
        <f t="shared" si="6"/>
        <v>101</v>
      </c>
      <c r="L52" s="19">
        <f t="shared" si="6"/>
        <v>38</v>
      </c>
      <c r="M52" s="19">
        <f t="shared" si="6"/>
        <v>0</v>
      </c>
      <c r="N52" s="19">
        <f t="shared" si="6"/>
        <v>6</v>
      </c>
      <c r="O52" s="19">
        <f t="shared" si="6"/>
        <v>0</v>
      </c>
      <c r="P52" s="19">
        <f t="shared" si="6"/>
        <v>0</v>
      </c>
      <c r="Q52" s="19">
        <f t="shared" si="6"/>
        <v>0</v>
      </c>
    </row>
    <row r="53" spans="1:23" x14ac:dyDescent="0.35">
      <c r="A53" s="16" t="s">
        <v>101</v>
      </c>
      <c r="B53" s="39">
        <f>SUM(D53:J53)</f>
        <v>18</v>
      </c>
      <c r="C53" s="39">
        <f>SUM(K53:Q53)</f>
        <v>33</v>
      </c>
      <c r="D53" s="16">
        <v>12</v>
      </c>
      <c r="E53" s="16">
        <v>4</v>
      </c>
      <c r="F53" s="16">
        <v>0</v>
      </c>
      <c r="G53" s="16">
        <v>2</v>
      </c>
      <c r="H53" s="16">
        <v>0</v>
      </c>
      <c r="I53" s="16">
        <v>0</v>
      </c>
      <c r="J53" s="16">
        <v>0</v>
      </c>
      <c r="K53" s="16">
        <v>22</v>
      </c>
      <c r="L53" s="16">
        <v>6</v>
      </c>
      <c r="M53" s="16">
        <v>0</v>
      </c>
      <c r="N53" s="16">
        <v>5</v>
      </c>
      <c r="O53" s="16">
        <v>0</v>
      </c>
      <c r="P53" s="16">
        <v>0</v>
      </c>
      <c r="Q53" s="16">
        <v>0</v>
      </c>
      <c r="R53" s="15"/>
      <c r="S53" s="15"/>
      <c r="T53" s="15"/>
      <c r="U53" s="15"/>
      <c r="V53" s="15"/>
      <c r="W53" s="15"/>
    </row>
    <row r="54" spans="1:23" x14ac:dyDescent="0.35">
      <c r="A54" s="16" t="s">
        <v>47</v>
      </c>
      <c r="B54" s="39">
        <f>SUM(D54:J54)</f>
        <v>8</v>
      </c>
      <c r="C54" s="39">
        <f>SUM(K54:Q54)</f>
        <v>11</v>
      </c>
      <c r="D54" s="16">
        <v>3</v>
      </c>
      <c r="E54" s="16">
        <v>4</v>
      </c>
      <c r="F54" s="16">
        <v>0</v>
      </c>
      <c r="G54" s="16">
        <v>1</v>
      </c>
      <c r="H54" s="16">
        <v>0</v>
      </c>
      <c r="I54" s="16">
        <v>0</v>
      </c>
      <c r="J54" s="16">
        <v>0</v>
      </c>
      <c r="K54" s="16">
        <v>4</v>
      </c>
      <c r="L54" s="16">
        <v>6</v>
      </c>
      <c r="M54" s="16">
        <v>0</v>
      </c>
      <c r="N54" s="16">
        <v>1</v>
      </c>
      <c r="O54" s="16">
        <v>0</v>
      </c>
      <c r="P54" s="16">
        <v>0</v>
      </c>
      <c r="Q54" s="16">
        <v>0</v>
      </c>
    </row>
    <row r="55" spans="1:23" x14ac:dyDescent="0.35">
      <c r="A55" s="16" t="s">
        <v>102</v>
      </c>
      <c r="B55" s="39">
        <f>SUM(D55:J55)</f>
        <v>77</v>
      </c>
      <c r="C55" s="39">
        <f>SUM(K55:Q55)</f>
        <v>101</v>
      </c>
      <c r="D55" s="16">
        <v>56</v>
      </c>
      <c r="E55" s="16">
        <v>21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75</v>
      </c>
      <c r="L55" s="16">
        <v>26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</row>
    <row r="56" spans="1:23" x14ac:dyDescent="0.35">
      <c r="A56" s="16" t="s">
        <v>48</v>
      </c>
      <c r="B56" s="39">
        <f>SUM(D56:J56)</f>
        <v>124</v>
      </c>
      <c r="C56" s="39">
        <f>SUM(K56:Q56)</f>
        <v>225</v>
      </c>
      <c r="D56" s="16">
        <v>67</v>
      </c>
      <c r="E56" s="16">
        <v>26</v>
      </c>
      <c r="F56" s="16">
        <v>5</v>
      </c>
      <c r="G56" s="16">
        <v>26</v>
      </c>
      <c r="H56" s="16">
        <v>0</v>
      </c>
      <c r="I56" s="16">
        <v>0</v>
      </c>
      <c r="J56" s="16">
        <v>0</v>
      </c>
      <c r="K56" s="16">
        <v>121</v>
      </c>
      <c r="L56" s="16">
        <v>52</v>
      </c>
      <c r="M56" s="16">
        <v>10</v>
      </c>
      <c r="N56" s="16">
        <v>42</v>
      </c>
      <c r="O56" s="16">
        <v>0</v>
      </c>
      <c r="P56" s="16">
        <v>0</v>
      </c>
      <c r="Q56" s="16">
        <v>0</v>
      </c>
    </row>
    <row r="57" spans="1:23" x14ac:dyDescent="0.35">
      <c r="A57" s="16" t="s">
        <v>49</v>
      </c>
      <c r="B57" s="39">
        <f>SUM(D57:J57)</f>
        <v>37</v>
      </c>
      <c r="C57" s="39">
        <f>SUM(K57:Q57)</f>
        <v>66</v>
      </c>
      <c r="D57" s="16">
        <v>22</v>
      </c>
      <c r="E57" s="16">
        <v>9</v>
      </c>
      <c r="F57" s="16">
        <v>2</v>
      </c>
      <c r="G57" s="16">
        <v>4</v>
      </c>
      <c r="H57" s="16">
        <v>0</v>
      </c>
      <c r="I57" s="16">
        <v>0</v>
      </c>
      <c r="J57" s="16">
        <v>0</v>
      </c>
      <c r="K57" s="16">
        <v>40</v>
      </c>
      <c r="L57" s="16">
        <v>16</v>
      </c>
      <c r="M57" s="16">
        <v>4</v>
      </c>
      <c r="N57" s="16">
        <v>6</v>
      </c>
      <c r="O57" s="16">
        <v>0</v>
      </c>
      <c r="P57" s="16">
        <v>0</v>
      </c>
      <c r="Q57" s="16">
        <v>0</v>
      </c>
    </row>
    <row r="58" spans="1:23" x14ac:dyDescent="0.35">
      <c r="A58" s="37">
        <v>3755</v>
      </c>
      <c r="B58" s="38">
        <f>D58+E58+F58+G58+H58+I58</f>
        <v>105</v>
      </c>
      <c r="C58" s="38">
        <f>K58+L58+M58+N58+O58+P58</f>
        <v>149</v>
      </c>
      <c r="D58" s="40">
        <f t="shared" ref="D58:Q58" si="7">SUM(D59:D61)</f>
        <v>46</v>
      </c>
      <c r="E58" s="40">
        <f t="shared" si="7"/>
        <v>19</v>
      </c>
      <c r="F58" s="40">
        <f t="shared" si="7"/>
        <v>13</v>
      </c>
      <c r="G58" s="32">
        <f t="shared" si="7"/>
        <v>27</v>
      </c>
      <c r="H58" s="32">
        <f t="shared" si="7"/>
        <v>0</v>
      </c>
      <c r="I58" s="32">
        <f t="shared" si="7"/>
        <v>0</v>
      </c>
      <c r="J58" s="32">
        <f t="shared" si="7"/>
        <v>0</v>
      </c>
      <c r="K58" s="32">
        <f t="shared" si="7"/>
        <v>70</v>
      </c>
      <c r="L58" s="32">
        <f t="shared" si="7"/>
        <v>25</v>
      </c>
      <c r="M58" s="32">
        <f t="shared" si="7"/>
        <v>17</v>
      </c>
      <c r="N58" s="32">
        <f t="shared" si="7"/>
        <v>37</v>
      </c>
      <c r="O58" s="32">
        <f t="shared" si="7"/>
        <v>0</v>
      </c>
      <c r="P58" s="32">
        <f t="shared" si="7"/>
        <v>0</v>
      </c>
      <c r="Q58" s="32">
        <f t="shared" si="7"/>
        <v>0</v>
      </c>
    </row>
    <row r="59" spans="1:23" x14ac:dyDescent="0.35">
      <c r="A59" s="16" t="s">
        <v>103</v>
      </c>
      <c r="B59" s="39">
        <f>D59+E59+F59+G59+H59+I59</f>
        <v>4</v>
      </c>
      <c r="C59" s="39">
        <f>K59+L59+M59+N59+O59+P59</f>
        <v>5</v>
      </c>
      <c r="D59" s="16">
        <v>2</v>
      </c>
      <c r="E59" s="16">
        <v>0</v>
      </c>
      <c r="F59" s="16">
        <v>1</v>
      </c>
      <c r="G59" s="16">
        <v>1</v>
      </c>
      <c r="H59" s="16">
        <v>0</v>
      </c>
      <c r="I59" s="16">
        <v>0</v>
      </c>
      <c r="J59" s="16">
        <v>0</v>
      </c>
      <c r="K59" s="16">
        <v>2</v>
      </c>
      <c r="L59" s="16">
        <v>0</v>
      </c>
      <c r="M59" s="16">
        <v>1</v>
      </c>
      <c r="N59" s="16">
        <v>2</v>
      </c>
      <c r="O59" s="16">
        <v>0</v>
      </c>
      <c r="P59" s="16">
        <v>0</v>
      </c>
      <c r="Q59" s="16">
        <v>0</v>
      </c>
    </row>
    <row r="60" spans="1:23" x14ac:dyDescent="0.35">
      <c r="A60" s="16" t="s">
        <v>86</v>
      </c>
      <c r="B60" s="39">
        <f>D60+E60+F60+G60+H60+I60</f>
        <v>26</v>
      </c>
      <c r="C60" s="39">
        <f>K60+L60+M60+N60+O60+P60</f>
        <v>36</v>
      </c>
      <c r="D60" s="16">
        <v>9</v>
      </c>
      <c r="E60" s="16">
        <v>3</v>
      </c>
      <c r="F60" s="16">
        <v>4</v>
      </c>
      <c r="G60" s="16">
        <v>10</v>
      </c>
      <c r="H60" s="16">
        <v>0</v>
      </c>
      <c r="I60" s="16">
        <v>0</v>
      </c>
      <c r="J60" s="16">
        <v>0</v>
      </c>
      <c r="K60" s="16">
        <v>13</v>
      </c>
      <c r="L60" s="16">
        <v>4</v>
      </c>
      <c r="M60" s="16">
        <v>5</v>
      </c>
      <c r="N60" s="16">
        <v>14</v>
      </c>
      <c r="O60" s="16">
        <v>0</v>
      </c>
      <c r="P60" s="16">
        <v>0</v>
      </c>
      <c r="Q60" s="16">
        <v>0</v>
      </c>
    </row>
    <row r="61" spans="1:23" x14ac:dyDescent="0.35">
      <c r="A61" s="16" t="s">
        <v>87</v>
      </c>
      <c r="B61" s="39">
        <f>D61+E61+F61+G61+H61+I61</f>
        <v>75</v>
      </c>
      <c r="C61" s="39">
        <f>K61+L61+M61+N61+O61+P61</f>
        <v>108</v>
      </c>
      <c r="D61" s="16">
        <v>35</v>
      </c>
      <c r="E61" s="16">
        <v>16</v>
      </c>
      <c r="F61" s="16">
        <v>8</v>
      </c>
      <c r="G61" s="16">
        <v>16</v>
      </c>
      <c r="H61" s="16">
        <v>0</v>
      </c>
      <c r="I61" s="16">
        <v>0</v>
      </c>
      <c r="J61" s="16">
        <v>0</v>
      </c>
      <c r="K61" s="16">
        <v>55</v>
      </c>
      <c r="L61" s="16">
        <v>21</v>
      </c>
      <c r="M61" s="16">
        <v>11</v>
      </c>
      <c r="N61" s="16">
        <v>21</v>
      </c>
      <c r="O61" s="16">
        <v>0</v>
      </c>
      <c r="P61" s="16">
        <v>0</v>
      </c>
      <c r="Q61" s="16">
        <v>0</v>
      </c>
    </row>
    <row r="62" spans="1:23" x14ac:dyDescent="0.35">
      <c r="A62" s="41" t="s">
        <v>50</v>
      </c>
      <c r="B62" s="41">
        <f t="shared" ref="B62:Q62" si="8">B4+B44+B52+B58</f>
        <v>6254</v>
      </c>
      <c r="C62" s="41">
        <f t="shared" si="8"/>
        <v>10328</v>
      </c>
      <c r="D62" s="41">
        <f t="shared" si="8"/>
        <v>3525</v>
      </c>
      <c r="E62" s="41">
        <f t="shared" si="8"/>
        <v>1606</v>
      </c>
      <c r="F62" s="41">
        <f t="shared" si="8"/>
        <v>320</v>
      </c>
      <c r="G62" s="41">
        <f t="shared" si="8"/>
        <v>638</v>
      </c>
      <c r="H62" s="41">
        <f t="shared" si="8"/>
        <v>0</v>
      </c>
      <c r="I62" s="41">
        <f t="shared" si="8"/>
        <v>4</v>
      </c>
      <c r="J62" s="41">
        <f t="shared" si="8"/>
        <v>0</v>
      </c>
      <c r="K62" s="41">
        <f t="shared" si="8"/>
        <v>5845</v>
      </c>
      <c r="L62" s="41">
        <f t="shared" si="8"/>
        <v>2644</v>
      </c>
      <c r="M62" s="41">
        <f t="shared" si="8"/>
        <v>549</v>
      </c>
      <c r="N62" s="41">
        <f t="shared" si="8"/>
        <v>995</v>
      </c>
      <c r="O62" s="41">
        <f t="shared" si="8"/>
        <v>0</v>
      </c>
      <c r="P62" s="41">
        <f t="shared" si="8"/>
        <v>4</v>
      </c>
      <c r="Q62" s="41">
        <f t="shared" si="8"/>
        <v>0</v>
      </c>
    </row>
    <row r="64" spans="1:23" ht="20" x14ac:dyDescent="0.35">
      <c r="A64" s="3" t="s">
        <v>51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35">
      <c r="A65" s="2" t="s">
        <v>52</v>
      </c>
      <c r="B65" s="1" t="s">
        <v>8</v>
      </c>
      <c r="C65" s="1"/>
      <c r="D65" s="1" t="s">
        <v>9</v>
      </c>
      <c r="E65" s="1"/>
      <c r="F65" s="1" t="s">
        <v>10</v>
      </c>
      <c r="G65" s="1"/>
      <c r="H65" s="1" t="s">
        <v>11</v>
      </c>
      <c r="I65" s="1"/>
      <c r="J65" s="1" t="s">
        <v>68</v>
      </c>
      <c r="K65" s="1"/>
      <c r="L65" s="1" t="s">
        <v>53</v>
      </c>
      <c r="M65" s="1" t="s">
        <v>54</v>
      </c>
    </row>
    <row r="66" spans="1:13" x14ac:dyDescent="0.35">
      <c r="A66" s="2"/>
      <c r="B66" s="25" t="s">
        <v>55</v>
      </c>
      <c r="C66" s="25" t="s">
        <v>7</v>
      </c>
      <c r="D66" s="25" t="s">
        <v>55</v>
      </c>
      <c r="E66" s="25" t="s">
        <v>7</v>
      </c>
      <c r="F66" s="25" t="s">
        <v>55</v>
      </c>
      <c r="G66" s="25" t="s">
        <v>7</v>
      </c>
      <c r="H66" s="25" t="s">
        <v>55</v>
      </c>
      <c r="I66" s="25" t="s">
        <v>7</v>
      </c>
      <c r="J66" s="25" t="s">
        <v>55</v>
      </c>
      <c r="K66" s="25" t="s">
        <v>7</v>
      </c>
      <c r="L66" s="1" t="s">
        <v>53</v>
      </c>
      <c r="M66" s="1" t="s">
        <v>56</v>
      </c>
    </row>
    <row r="67" spans="1:13" x14ac:dyDescent="0.35">
      <c r="A67" s="26" t="s">
        <v>104</v>
      </c>
      <c r="B67" s="26">
        <v>17</v>
      </c>
      <c r="C67" s="26">
        <v>28</v>
      </c>
      <c r="D67" s="26">
        <v>5</v>
      </c>
      <c r="E67" s="26">
        <v>7</v>
      </c>
      <c r="F67" s="26">
        <v>1</v>
      </c>
      <c r="G67" s="26">
        <v>1</v>
      </c>
      <c r="H67" s="26">
        <v>3</v>
      </c>
      <c r="I67" s="26">
        <v>7</v>
      </c>
      <c r="J67" s="26">
        <v>0</v>
      </c>
      <c r="K67" s="26">
        <v>0</v>
      </c>
      <c r="L67" s="33">
        <f t="shared" ref="L67:M71" si="9">SUM(B67+D67+F67+H67+J67)</f>
        <v>26</v>
      </c>
      <c r="M67" s="33">
        <f t="shared" si="9"/>
        <v>43</v>
      </c>
    </row>
    <row r="68" spans="1:13" x14ac:dyDescent="0.35">
      <c r="A68" s="26" t="s">
        <v>80</v>
      </c>
      <c r="B68" s="26">
        <v>0</v>
      </c>
      <c r="C68" s="26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2</v>
      </c>
      <c r="K68" s="26">
        <v>2</v>
      </c>
      <c r="L68" s="33">
        <f t="shared" si="9"/>
        <v>2</v>
      </c>
      <c r="M68" s="33">
        <f t="shared" si="9"/>
        <v>2</v>
      </c>
    </row>
    <row r="69" spans="1:13" x14ac:dyDescent="0.35">
      <c r="A69" s="26" t="s">
        <v>57</v>
      </c>
      <c r="B69" s="26">
        <v>2425</v>
      </c>
      <c r="C69" s="26">
        <v>4269</v>
      </c>
      <c r="D69" s="26">
        <v>1140</v>
      </c>
      <c r="E69" s="26">
        <v>2008</v>
      </c>
      <c r="F69" s="26">
        <v>296</v>
      </c>
      <c r="G69" s="26">
        <v>533</v>
      </c>
      <c r="H69" s="26">
        <v>536</v>
      </c>
      <c r="I69" s="26">
        <v>855</v>
      </c>
      <c r="J69" s="26">
        <v>0</v>
      </c>
      <c r="K69" s="26">
        <v>0</v>
      </c>
      <c r="L69" s="33">
        <f t="shared" si="9"/>
        <v>4397</v>
      </c>
      <c r="M69" s="33">
        <f t="shared" si="9"/>
        <v>7665</v>
      </c>
    </row>
    <row r="70" spans="1:13" x14ac:dyDescent="0.35">
      <c r="A70" s="26" t="s">
        <v>69</v>
      </c>
      <c r="B70" s="26">
        <v>62</v>
      </c>
      <c r="C70" s="26">
        <v>62</v>
      </c>
      <c r="D70" s="26">
        <v>12</v>
      </c>
      <c r="E70" s="26">
        <v>13</v>
      </c>
      <c r="F70" s="26">
        <v>5</v>
      </c>
      <c r="G70" s="26">
        <v>5</v>
      </c>
      <c r="H70" s="26">
        <v>66</v>
      </c>
      <c r="I70" s="26">
        <v>66</v>
      </c>
      <c r="J70" s="26">
        <v>2</v>
      </c>
      <c r="K70" s="26">
        <v>2</v>
      </c>
      <c r="L70" s="33">
        <f t="shared" si="9"/>
        <v>147</v>
      </c>
      <c r="M70" s="33">
        <f t="shared" si="9"/>
        <v>148</v>
      </c>
    </row>
    <row r="71" spans="1:13" x14ac:dyDescent="0.35">
      <c r="A71" s="26" t="s">
        <v>58</v>
      </c>
      <c r="B71" s="26">
        <v>903</v>
      </c>
      <c r="C71" s="26">
        <v>1632</v>
      </c>
      <c r="D71" s="26">
        <v>394</v>
      </c>
      <c r="E71" s="26">
        <v>673</v>
      </c>
      <c r="F71" s="26">
        <v>22</v>
      </c>
      <c r="G71" s="26">
        <v>44</v>
      </c>
      <c r="H71" s="26">
        <v>33</v>
      </c>
      <c r="I71" s="26">
        <v>121</v>
      </c>
      <c r="J71" s="26">
        <v>0</v>
      </c>
      <c r="K71" s="26">
        <v>0</v>
      </c>
      <c r="L71" s="33">
        <f t="shared" si="9"/>
        <v>1352</v>
      </c>
      <c r="M71" s="33">
        <f t="shared" si="9"/>
        <v>2470</v>
      </c>
    </row>
    <row r="72" spans="1:13" x14ac:dyDescent="0.35">
      <c r="A72" s="27" t="s">
        <v>59</v>
      </c>
      <c r="B72" s="28">
        <f t="shared" ref="B72:M72" si="10">SUM(B67:B71)</f>
        <v>3407</v>
      </c>
      <c r="C72" s="28">
        <f t="shared" si="10"/>
        <v>5991</v>
      </c>
      <c r="D72" s="28">
        <f t="shared" si="10"/>
        <v>1551</v>
      </c>
      <c r="E72" s="28">
        <f t="shared" si="10"/>
        <v>2701</v>
      </c>
      <c r="F72" s="28">
        <f t="shared" si="10"/>
        <v>324</v>
      </c>
      <c r="G72" s="28">
        <f t="shared" si="10"/>
        <v>583</v>
      </c>
      <c r="H72" s="28">
        <f t="shared" si="10"/>
        <v>638</v>
      </c>
      <c r="I72" s="28">
        <f t="shared" si="10"/>
        <v>1049</v>
      </c>
      <c r="J72" s="28">
        <f t="shared" si="10"/>
        <v>4</v>
      </c>
      <c r="K72" s="28">
        <f t="shared" si="10"/>
        <v>4</v>
      </c>
      <c r="L72" s="28">
        <f t="shared" si="10"/>
        <v>5924</v>
      </c>
      <c r="M72" s="28">
        <f t="shared" si="10"/>
        <v>10328</v>
      </c>
    </row>
  </sheetData>
  <mergeCells count="13">
    <mergeCell ref="J65:K65"/>
    <mergeCell ref="L65:L66"/>
    <mergeCell ref="M65:M66"/>
    <mergeCell ref="A65:A66"/>
    <mergeCell ref="B65:C65"/>
    <mergeCell ref="D65:E65"/>
    <mergeCell ref="F65:G65"/>
    <mergeCell ref="H65:I65"/>
    <mergeCell ref="A1:O1"/>
    <mergeCell ref="B2:C2"/>
    <mergeCell ref="D2:J2"/>
    <mergeCell ref="K2:O2"/>
    <mergeCell ref="A64:M64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5"/>
  <sheetViews>
    <sheetView tabSelected="1" zoomScale="80" zoomScaleNormal="80" workbookViewId="0">
      <pane ySplit="3" topLeftCell="A4" activePane="bottomLeft" state="frozen"/>
      <selection pane="bottomLeft" activeCell="L74" sqref="L74"/>
    </sheetView>
  </sheetViews>
  <sheetFormatPr baseColWidth="10" defaultColWidth="15.1796875" defaultRowHeight="14.5" x14ac:dyDescent="0.35"/>
  <cols>
    <col min="1" max="1" width="47.08984375" customWidth="1"/>
    <col min="2" max="2" width="12.81640625" customWidth="1"/>
    <col min="3" max="3" width="6.54296875" customWidth="1"/>
    <col min="4" max="4" width="12.26953125" customWidth="1"/>
    <col min="5" max="5" width="10.26953125" customWidth="1"/>
    <col min="6" max="6" width="11" customWidth="1"/>
    <col min="7" max="7" width="8.453125" customWidth="1"/>
    <col min="8" max="9" width="6.90625" customWidth="1"/>
    <col min="10" max="11" width="7.08984375" customWidth="1"/>
    <col min="12" max="12" width="11.54296875" customWidth="1"/>
    <col min="13" max="13" width="15.36328125" customWidth="1"/>
    <col min="14" max="15" width="12.453125" customWidth="1"/>
  </cols>
  <sheetData>
    <row r="1" spans="1:23" ht="26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  <c r="Q1" s="7"/>
    </row>
    <row r="2" spans="1:23" ht="29.9" customHeight="1" x14ac:dyDescent="0.35">
      <c r="A2" s="8" t="s">
        <v>1</v>
      </c>
      <c r="B2" s="5" t="s">
        <v>114</v>
      </c>
      <c r="C2" s="5"/>
      <c r="D2" s="4" t="s">
        <v>3</v>
      </c>
      <c r="E2" s="4"/>
      <c r="F2" s="4"/>
      <c r="G2" s="4"/>
      <c r="H2" s="4"/>
      <c r="I2" s="4"/>
      <c r="J2" s="4"/>
      <c r="K2" s="4" t="s">
        <v>4</v>
      </c>
      <c r="L2" s="4"/>
      <c r="M2" s="4"/>
      <c r="N2" s="4"/>
      <c r="O2" s="4"/>
      <c r="P2" s="9"/>
      <c r="Q2" s="9"/>
    </row>
    <row r="3" spans="1:23" x14ac:dyDescent="0.35">
      <c r="A3" s="10" t="s">
        <v>5</v>
      </c>
      <c r="B3" s="11" t="s">
        <v>6</v>
      </c>
      <c r="C3" s="12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13" t="s">
        <v>71</v>
      </c>
      <c r="I3" s="13" t="s">
        <v>12</v>
      </c>
      <c r="J3" s="13" t="s">
        <v>115</v>
      </c>
      <c r="K3" s="13" t="s">
        <v>8</v>
      </c>
      <c r="L3" s="13" t="s">
        <v>9</v>
      </c>
      <c r="M3" s="13" t="s">
        <v>10</v>
      </c>
      <c r="N3" s="13" t="s">
        <v>11</v>
      </c>
      <c r="O3" s="13" t="s">
        <v>71</v>
      </c>
      <c r="P3" s="13" t="s">
        <v>12</v>
      </c>
      <c r="Q3" s="13" t="s">
        <v>115</v>
      </c>
    </row>
    <row r="4" spans="1:23" x14ac:dyDescent="0.35">
      <c r="A4" s="14">
        <v>3734</v>
      </c>
      <c r="B4" s="14">
        <f t="shared" ref="B4:Q4" si="0">SUM(B5:B46)</f>
        <v>5455</v>
      </c>
      <c r="C4" s="14">
        <f t="shared" si="0"/>
        <v>9066</v>
      </c>
      <c r="D4" s="14">
        <f t="shared" si="0"/>
        <v>3141</v>
      </c>
      <c r="E4" s="14">
        <f t="shared" si="0"/>
        <v>1414</v>
      </c>
      <c r="F4" s="14">
        <f t="shared" si="0"/>
        <v>328</v>
      </c>
      <c r="G4" s="14">
        <f t="shared" si="0"/>
        <v>562</v>
      </c>
      <c r="H4" s="14">
        <f t="shared" si="0"/>
        <v>1</v>
      </c>
      <c r="I4" s="14">
        <f t="shared" si="0"/>
        <v>8</v>
      </c>
      <c r="J4" s="14">
        <f t="shared" si="0"/>
        <v>1</v>
      </c>
      <c r="K4" s="14">
        <f t="shared" si="0"/>
        <v>5340</v>
      </c>
      <c r="L4" s="14">
        <f t="shared" si="0"/>
        <v>2307</v>
      </c>
      <c r="M4" s="14">
        <f t="shared" si="0"/>
        <v>536</v>
      </c>
      <c r="N4" s="14">
        <f t="shared" si="0"/>
        <v>873</v>
      </c>
      <c r="O4" s="14">
        <f t="shared" si="0"/>
        <v>1</v>
      </c>
      <c r="P4" s="14">
        <f t="shared" si="0"/>
        <v>8</v>
      </c>
      <c r="Q4" s="14">
        <f t="shared" si="0"/>
        <v>1</v>
      </c>
      <c r="R4" s="15"/>
      <c r="S4" s="15"/>
      <c r="T4" s="15"/>
      <c r="U4" s="15"/>
      <c r="V4" s="15"/>
      <c r="W4" s="15"/>
    </row>
    <row r="5" spans="1:23" x14ac:dyDescent="0.35">
      <c r="A5" s="16" t="s">
        <v>13</v>
      </c>
      <c r="B5" s="36">
        <f t="shared" ref="B5:B46" si="1">SUM(D5:J5)</f>
        <v>15</v>
      </c>
      <c r="C5" s="17">
        <f t="shared" ref="C5:C46" si="2">SUM(K5:Q5)</f>
        <v>24</v>
      </c>
      <c r="D5" s="43">
        <v>9</v>
      </c>
      <c r="E5" s="43">
        <v>4</v>
      </c>
      <c r="F5" s="43">
        <v>1</v>
      </c>
      <c r="G5" s="43">
        <v>1</v>
      </c>
      <c r="H5" s="43">
        <v>0</v>
      </c>
      <c r="I5" s="43">
        <v>0</v>
      </c>
      <c r="J5" s="43">
        <v>0</v>
      </c>
      <c r="K5" s="43">
        <v>16</v>
      </c>
      <c r="L5" s="43">
        <v>6</v>
      </c>
      <c r="M5" s="43">
        <v>1</v>
      </c>
      <c r="N5" s="43">
        <v>1</v>
      </c>
      <c r="O5" s="43">
        <v>0</v>
      </c>
      <c r="P5" s="43">
        <v>0</v>
      </c>
      <c r="Q5" s="43">
        <v>0</v>
      </c>
    </row>
    <row r="6" spans="1:23" x14ac:dyDescent="0.35">
      <c r="A6" s="16" t="s">
        <v>106</v>
      </c>
      <c r="B6" s="36">
        <f t="shared" si="1"/>
        <v>160</v>
      </c>
      <c r="C6" s="17">
        <f t="shared" si="2"/>
        <v>203</v>
      </c>
      <c r="D6" s="43">
        <v>101</v>
      </c>
      <c r="E6" s="43">
        <v>53</v>
      </c>
      <c r="F6" s="43">
        <v>6</v>
      </c>
      <c r="G6" s="43">
        <v>0</v>
      </c>
      <c r="H6" s="43">
        <v>0</v>
      </c>
      <c r="I6" s="43">
        <v>0</v>
      </c>
      <c r="J6" s="43">
        <v>0</v>
      </c>
      <c r="K6" s="43">
        <v>129</v>
      </c>
      <c r="L6" s="43">
        <v>65</v>
      </c>
      <c r="M6" s="43">
        <v>9</v>
      </c>
      <c r="N6" s="43">
        <v>0</v>
      </c>
      <c r="O6" s="43">
        <v>0</v>
      </c>
      <c r="P6" s="43">
        <v>0</v>
      </c>
      <c r="Q6" s="43">
        <v>0</v>
      </c>
    </row>
    <row r="7" spans="1:23" x14ac:dyDescent="0.35">
      <c r="A7" s="16" t="s">
        <v>14</v>
      </c>
      <c r="B7" s="36">
        <f t="shared" si="1"/>
        <v>120</v>
      </c>
      <c r="C7" s="17">
        <f t="shared" si="2"/>
        <v>166</v>
      </c>
      <c r="D7" s="43">
        <v>63</v>
      </c>
      <c r="E7" s="43">
        <v>35</v>
      </c>
      <c r="F7" s="43">
        <v>10</v>
      </c>
      <c r="G7" s="43">
        <v>12</v>
      </c>
      <c r="H7" s="43">
        <v>0</v>
      </c>
      <c r="I7" s="43">
        <v>0</v>
      </c>
      <c r="J7" s="43">
        <v>0</v>
      </c>
      <c r="K7" s="43">
        <v>91</v>
      </c>
      <c r="L7" s="43">
        <v>46</v>
      </c>
      <c r="M7" s="43">
        <v>14</v>
      </c>
      <c r="N7" s="43">
        <v>15</v>
      </c>
      <c r="O7" s="43">
        <v>0</v>
      </c>
      <c r="P7" s="43">
        <v>0</v>
      </c>
      <c r="Q7" s="43">
        <v>0</v>
      </c>
    </row>
    <row r="8" spans="1:23" x14ac:dyDescent="0.35">
      <c r="A8" s="16" t="s">
        <v>15</v>
      </c>
      <c r="B8" s="36">
        <f t="shared" si="1"/>
        <v>30</v>
      </c>
      <c r="C8" s="17">
        <f t="shared" si="2"/>
        <v>50</v>
      </c>
      <c r="D8" s="43">
        <v>23</v>
      </c>
      <c r="E8" s="43">
        <v>6</v>
      </c>
      <c r="F8" s="43">
        <v>0</v>
      </c>
      <c r="G8" s="43">
        <v>1</v>
      </c>
      <c r="H8" s="43">
        <v>0</v>
      </c>
      <c r="I8" s="43">
        <v>0</v>
      </c>
      <c r="J8" s="43">
        <v>0</v>
      </c>
      <c r="K8" s="43">
        <v>38</v>
      </c>
      <c r="L8" s="43">
        <v>11</v>
      </c>
      <c r="M8" s="43">
        <v>0</v>
      </c>
      <c r="N8" s="43">
        <v>1</v>
      </c>
      <c r="O8" s="43">
        <v>0</v>
      </c>
      <c r="P8" s="43">
        <v>0</v>
      </c>
      <c r="Q8" s="43">
        <v>0</v>
      </c>
    </row>
    <row r="9" spans="1:23" x14ac:dyDescent="0.35">
      <c r="A9" s="16" t="s">
        <v>16</v>
      </c>
      <c r="B9" s="36">
        <f t="shared" si="1"/>
        <v>122</v>
      </c>
      <c r="C9" s="17">
        <f t="shared" si="2"/>
        <v>211</v>
      </c>
      <c r="D9" s="43">
        <v>62</v>
      </c>
      <c r="E9" s="43">
        <v>30</v>
      </c>
      <c r="F9" s="43">
        <v>14</v>
      </c>
      <c r="G9" s="43">
        <v>16</v>
      </c>
      <c r="H9" s="43">
        <v>0</v>
      </c>
      <c r="I9" s="43">
        <v>0</v>
      </c>
      <c r="J9" s="43">
        <v>0</v>
      </c>
      <c r="K9" s="43">
        <v>111</v>
      </c>
      <c r="L9" s="43">
        <v>53</v>
      </c>
      <c r="M9" s="43">
        <v>23</v>
      </c>
      <c r="N9" s="43">
        <v>24</v>
      </c>
      <c r="O9" s="43">
        <v>0</v>
      </c>
      <c r="P9" s="43">
        <v>0</v>
      </c>
      <c r="Q9" s="43">
        <v>0</v>
      </c>
    </row>
    <row r="10" spans="1:23" x14ac:dyDescent="0.35">
      <c r="A10" s="16" t="s">
        <v>17</v>
      </c>
      <c r="B10" s="36">
        <f t="shared" si="1"/>
        <v>70</v>
      </c>
      <c r="C10" s="17">
        <f t="shared" si="2"/>
        <v>121</v>
      </c>
      <c r="D10" s="43">
        <v>25</v>
      </c>
      <c r="E10" s="43">
        <v>28</v>
      </c>
      <c r="F10" s="43">
        <v>15</v>
      </c>
      <c r="G10" s="43">
        <v>2</v>
      </c>
      <c r="H10" s="43">
        <v>0</v>
      </c>
      <c r="I10" s="43">
        <v>0</v>
      </c>
      <c r="J10" s="43">
        <v>0</v>
      </c>
      <c r="K10" s="43">
        <v>48</v>
      </c>
      <c r="L10" s="43">
        <v>43</v>
      </c>
      <c r="M10" s="43">
        <v>28</v>
      </c>
      <c r="N10" s="43">
        <v>2</v>
      </c>
      <c r="O10" s="43">
        <v>0</v>
      </c>
      <c r="P10" s="43">
        <v>0</v>
      </c>
      <c r="Q10" s="43">
        <v>0</v>
      </c>
    </row>
    <row r="11" spans="1:23" x14ac:dyDescent="0.35">
      <c r="A11" s="16" t="s">
        <v>18</v>
      </c>
      <c r="B11" s="36">
        <f t="shared" si="1"/>
        <v>636</v>
      </c>
      <c r="C11" s="17">
        <f t="shared" si="2"/>
        <v>1153</v>
      </c>
      <c r="D11" s="43">
        <v>364</v>
      </c>
      <c r="E11" s="43">
        <v>143</v>
      </c>
      <c r="F11" s="43">
        <v>39</v>
      </c>
      <c r="G11" s="43">
        <v>90</v>
      </c>
      <c r="H11" s="43">
        <v>0</v>
      </c>
      <c r="I11" s="43">
        <v>0</v>
      </c>
      <c r="J11" s="43">
        <v>0</v>
      </c>
      <c r="K11" s="43">
        <v>670</v>
      </c>
      <c r="L11" s="43">
        <v>272</v>
      </c>
      <c r="M11" s="43">
        <v>78</v>
      </c>
      <c r="N11" s="43">
        <v>133</v>
      </c>
      <c r="O11" s="43">
        <v>0</v>
      </c>
      <c r="P11" s="43">
        <v>0</v>
      </c>
      <c r="Q11" s="43">
        <v>0</v>
      </c>
    </row>
    <row r="12" spans="1:23" x14ac:dyDescent="0.35">
      <c r="A12" s="16" t="s">
        <v>19</v>
      </c>
      <c r="B12" s="36">
        <f t="shared" si="1"/>
        <v>1</v>
      </c>
      <c r="C12" s="17">
        <f t="shared" si="2"/>
        <v>2</v>
      </c>
      <c r="D12" s="43">
        <v>0</v>
      </c>
      <c r="E12" s="43">
        <v>0</v>
      </c>
      <c r="F12" s="43">
        <v>0</v>
      </c>
      <c r="G12" s="43">
        <v>1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2</v>
      </c>
      <c r="O12" s="43">
        <v>0</v>
      </c>
      <c r="P12" s="43">
        <v>0</v>
      </c>
      <c r="Q12" s="43">
        <v>0</v>
      </c>
    </row>
    <row r="13" spans="1:23" x14ac:dyDescent="0.35">
      <c r="A13" s="16" t="s">
        <v>20</v>
      </c>
      <c r="B13" s="36">
        <f t="shared" si="1"/>
        <v>36</v>
      </c>
      <c r="C13" s="17">
        <f t="shared" si="2"/>
        <v>61</v>
      </c>
      <c r="D13" s="43">
        <v>19</v>
      </c>
      <c r="E13" s="43">
        <v>11</v>
      </c>
      <c r="F13" s="43">
        <v>0</v>
      </c>
      <c r="G13" s="43">
        <v>6</v>
      </c>
      <c r="H13" s="43">
        <v>0</v>
      </c>
      <c r="I13" s="43">
        <v>0</v>
      </c>
      <c r="J13" s="43">
        <v>0</v>
      </c>
      <c r="K13" s="43">
        <v>35</v>
      </c>
      <c r="L13" s="43">
        <v>17</v>
      </c>
      <c r="M13" s="43">
        <v>0</v>
      </c>
      <c r="N13" s="43">
        <v>9</v>
      </c>
      <c r="O13" s="43">
        <v>0</v>
      </c>
      <c r="P13" s="43">
        <v>0</v>
      </c>
      <c r="Q13" s="43">
        <v>0</v>
      </c>
    </row>
    <row r="14" spans="1:23" x14ac:dyDescent="0.35">
      <c r="A14" s="16" t="s">
        <v>21</v>
      </c>
      <c r="B14" s="36">
        <f t="shared" si="1"/>
        <v>318</v>
      </c>
      <c r="C14" s="17">
        <f t="shared" si="2"/>
        <v>533</v>
      </c>
      <c r="D14" s="43">
        <v>206</v>
      </c>
      <c r="E14" s="43">
        <v>76</v>
      </c>
      <c r="F14" s="43">
        <v>8</v>
      </c>
      <c r="G14" s="43">
        <v>28</v>
      </c>
      <c r="H14" s="43">
        <v>0</v>
      </c>
      <c r="I14" s="43">
        <v>0</v>
      </c>
      <c r="J14" s="43">
        <v>0</v>
      </c>
      <c r="K14" s="43">
        <v>360</v>
      </c>
      <c r="L14" s="43">
        <v>121</v>
      </c>
      <c r="M14" s="43">
        <v>13</v>
      </c>
      <c r="N14" s="43">
        <v>39</v>
      </c>
      <c r="O14" s="43">
        <v>0</v>
      </c>
      <c r="P14" s="43">
        <v>0</v>
      </c>
      <c r="Q14" s="43">
        <v>0</v>
      </c>
    </row>
    <row r="15" spans="1:23" x14ac:dyDescent="0.35">
      <c r="A15" s="16" t="s">
        <v>62</v>
      </c>
      <c r="B15" s="36">
        <f t="shared" si="1"/>
        <v>1</v>
      </c>
      <c r="C15" s="17">
        <f t="shared" si="2"/>
        <v>1</v>
      </c>
      <c r="D15" s="43">
        <v>1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43">
        <v>0</v>
      </c>
      <c r="K15" s="43">
        <v>1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</row>
    <row r="16" spans="1:23" x14ac:dyDescent="0.35">
      <c r="A16" s="16" t="s">
        <v>22</v>
      </c>
      <c r="B16" s="36">
        <f t="shared" si="1"/>
        <v>141</v>
      </c>
      <c r="C16" s="17">
        <f t="shared" si="2"/>
        <v>244</v>
      </c>
      <c r="D16" s="43">
        <v>83</v>
      </c>
      <c r="E16" s="43">
        <v>35</v>
      </c>
      <c r="F16" s="43">
        <v>8</v>
      </c>
      <c r="G16" s="43">
        <v>15</v>
      </c>
      <c r="H16" s="43">
        <v>0</v>
      </c>
      <c r="I16" s="43">
        <v>0</v>
      </c>
      <c r="J16" s="43">
        <v>0</v>
      </c>
      <c r="K16" s="43">
        <v>144</v>
      </c>
      <c r="L16" s="43">
        <v>60</v>
      </c>
      <c r="M16" s="43">
        <v>15</v>
      </c>
      <c r="N16" s="43">
        <v>25</v>
      </c>
      <c r="O16" s="43">
        <v>0</v>
      </c>
      <c r="P16" s="43">
        <v>0</v>
      </c>
      <c r="Q16" s="43">
        <v>0</v>
      </c>
    </row>
    <row r="17" spans="1:17" x14ac:dyDescent="0.35">
      <c r="A17" s="16" t="s">
        <v>23</v>
      </c>
      <c r="B17" s="36">
        <f t="shared" si="1"/>
        <v>74</v>
      </c>
      <c r="C17" s="17">
        <f t="shared" si="2"/>
        <v>138</v>
      </c>
      <c r="D17" s="43">
        <v>32</v>
      </c>
      <c r="E17" s="43">
        <v>25</v>
      </c>
      <c r="F17" s="43">
        <v>7</v>
      </c>
      <c r="G17" s="43">
        <v>10</v>
      </c>
      <c r="H17" s="43">
        <v>0</v>
      </c>
      <c r="I17" s="43">
        <v>0</v>
      </c>
      <c r="J17" s="43">
        <v>0</v>
      </c>
      <c r="K17" s="43">
        <v>62</v>
      </c>
      <c r="L17" s="43">
        <v>46</v>
      </c>
      <c r="M17" s="43">
        <v>13</v>
      </c>
      <c r="N17" s="43">
        <v>17</v>
      </c>
      <c r="O17" s="43">
        <v>0</v>
      </c>
      <c r="P17" s="43">
        <v>0</v>
      </c>
      <c r="Q17" s="43">
        <v>0</v>
      </c>
    </row>
    <row r="18" spans="1:17" x14ac:dyDescent="0.35">
      <c r="A18" s="16" t="s">
        <v>24</v>
      </c>
      <c r="B18" s="36">
        <f t="shared" si="1"/>
        <v>45</v>
      </c>
      <c r="C18" s="17">
        <f t="shared" si="2"/>
        <v>84</v>
      </c>
      <c r="D18" s="43">
        <v>25</v>
      </c>
      <c r="E18" s="43">
        <v>10</v>
      </c>
      <c r="F18" s="43">
        <v>8</v>
      </c>
      <c r="G18" s="43">
        <v>2</v>
      </c>
      <c r="H18" s="43">
        <v>0</v>
      </c>
      <c r="I18" s="43">
        <v>0</v>
      </c>
      <c r="J18" s="43">
        <v>0</v>
      </c>
      <c r="K18" s="43">
        <v>47</v>
      </c>
      <c r="L18" s="43">
        <v>18</v>
      </c>
      <c r="M18" s="43">
        <v>16</v>
      </c>
      <c r="N18" s="43">
        <v>3</v>
      </c>
      <c r="O18" s="43">
        <v>0</v>
      </c>
      <c r="P18" s="43">
        <v>0</v>
      </c>
      <c r="Q18" s="43">
        <v>0</v>
      </c>
    </row>
    <row r="19" spans="1:17" x14ac:dyDescent="0.35">
      <c r="A19" s="16" t="s">
        <v>25</v>
      </c>
      <c r="B19" s="36">
        <f t="shared" si="1"/>
        <v>179</v>
      </c>
      <c r="C19" s="17">
        <f t="shared" si="2"/>
        <v>270</v>
      </c>
      <c r="D19" s="43">
        <v>101</v>
      </c>
      <c r="E19" s="43">
        <v>37</v>
      </c>
      <c r="F19" s="43">
        <v>11</v>
      </c>
      <c r="G19" s="43">
        <v>30</v>
      </c>
      <c r="H19" s="43">
        <v>0</v>
      </c>
      <c r="I19" s="43">
        <v>0</v>
      </c>
      <c r="J19" s="43">
        <v>0</v>
      </c>
      <c r="K19" s="43">
        <v>151</v>
      </c>
      <c r="L19" s="43">
        <v>59</v>
      </c>
      <c r="M19" s="43">
        <v>14</v>
      </c>
      <c r="N19" s="43">
        <v>46</v>
      </c>
      <c r="O19" s="43">
        <v>0</v>
      </c>
      <c r="P19" s="43">
        <v>0</v>
      </c>
      <c r="Q19" s="43">
        <v>0</v>
      </c>
    </row>
    <row r="20" spans="1:17" x14ac:dyDescent="0.35">
      <c r="A20" s="16" t="s">
        <v>27</v>
      </c>
      <c r="B20" s="36">
        <f t="shared" si="1"/>
        <v>89</v>
      </c>
      <c r="C20" s="17">
        <f t="shared" si="2"/>
        <v>154</v>
      </c>
      <c r="D20" s="43">
        <v>31</v>
      </c>
      <c r="E20" s="43">
        <v>36</v>
      </c>
      <c r="F20" s="43">
        <v>6</v>
      </c>
      <c r="G20" s="43">
        <v>16</v>
      </c>
      <c r="H20" s="43">
        <v>0</v>
      </c>
      <c r="I20" s="43">
        <v>0</v>
      </c>
      <c r="J20" s="43">
        <v>0</v>
      </c>
      <c r="K20" s="43">
        <v>55</v>
      </c>
      <c r="L20" s="43">
        <v>60</v>
      </c>
      <c r="M20" s="43">
        <v>10</v>
      </c>
      <c r="N20" s="43">
        <v>29</v>
      </c>
      <c r="O20" s="43">
        <v>0</v>
      </c>
      <c r="P20" s="43">
        <v>0</v>
      </c>
      <c r="Q20" s="43">
        <v>0</v>
      </c>
    </row>
    <row r="21" spans="1:17" x14ac:dyDescent="0.35">
      <c r="A21" s="16" t="s">
        <v>116</v>
      </c>
      <c r="B21" s="36">
        <f t="shared" si="1"/>
        <v>308</v>
      </c>
      <c r="C21" s="17">
        <f t="shared" si="2"/>
        <v>308</v>
      </c>
      <c r="D21" s="43">
        <v>143</v>
      </c>
      <c r="E21" s="43">
        <v>73</v>
      </c>
      <c r="F21" s="43">
        <v>48</v>
      </c>
      <c r="G21" s="43">
        <v>41</v>
      </c>
      <c r="H21" s="43">
        <v>1</v>
      </c>
      <c r="I21" s="43">
        <v>1</v>
      </c>
      <c r="J21" s="43">
        <v>1</v>
      </c>
      <c r="K21" s="43">
        <v>143</v>
      </c>
      <c r="L21" s="43">
        <v>73</v>
      </c>
      <c r="M21" s="43">
        <v>48</v>
      </c>
      <c r="N21" s="43">
        <v>41</v>
      </c>
      <c r="O21" s="43">
        <v>1</v>
      </c>
      <c r="P21" s="43">
        <v>1</v>
      </c>
      <c r="Q21" s="43">
        <v>1</v>
      </c>
    </row>
    <row r="22" spans="1:17" x14ac:dyDescent="0.35">
      <c r="A22" s="16" t="s">
        <v>28</v>
      </c>
      <c r="B22" s="36">
        <f t="shared" si="1"/>
        <v>112</v>
      </c>
      <c r="C22" s="17">
        <f t="shared" si="2"/>
        <v>184</v>
      </c>
      <c r="D22" s="43">
        <v>68</v>
      </c>
      <c r="E22" s="43">
        <v>27</v>
      </c>
      <c r="F22" s="43">
        <v>7</v>
      </c>
      <c r="G22" s="43">
        <v>10</v>
      </c>
      <c r="H22" s="43">
        <v>0</v>
      </c>
      <c r="I22" s="43">
        <v>0</v>
      </c>
      <c r="J22" s="43">
        <v>0</v>
      </c>
      <c r="K22" s="43">
        <v>108</v>
      </c>
      <c r="L22" s="43">
        <v>45</v>
      </c>
      <c r="M22" s="43">
        <v>14</v>
      </c>
      <c r="N22" s="43">
        <v>17</v>
      </c>
      <c r="O22" s="43">
        <v>0</v>
      </c>
      <c r="P22" s="43">
        <v>0</v>
      </c>
      <c r="Q22" s="43">
        <v>0</v>
      </c>
    </row>
    <row r="23" spans="1:17" x14ac:dyDescent="0.35">
      <c r="A23" s="16" t="s">
        <v>29</v>
      </c>
      <c r="B23" s="36">
        <f t="shared" si="1"/>
        <v>230</v>
      </c>
      <c r="C23" s="17">
        <f t="shared" si="2"/>
        <v>472</v>
      </c>
      <c r="D23" s="43">
        <v>165</v>
      </c>
      <c r="E23" s="43">
        <v>53</v>
      </c>
      <c r="F23" s="43">
        <v>4</v>
      </c>
      <c r="G23" s="43">
        <v>8</v>
      </c>
      <c r="H23" s="43">
        <v>0</v>
      </c>
      <c r="I23" s="43">
        <v>0</v>
      </c>
      <c r="J23" s="43">
        <v>0</v>
      </c>
      <c r="K23" s="43">
        <v>335</v>
      </c>
      <c r="L23" s="43">
        <v>117</v>
      </c>
      <c r="M23" s="43">
        <v>4</v>
      </c>
      <c r="N23" s="43">
        <v>16</v>
      </c>
      <c r="O23" s="43">
        <v>0</v>
      </c>
      <c r="P23" s="43">
        <v>0</v>
      </c>
      <c r="Q23" s="43">
        <v>0</v>
      </c>
    </row>
    <row r="24" spans="1:17" x14ac:dyDescent="0.35">
      <c r="A24" s="16" t="s">
        <v>30</v>
      </c>
      <c r="B24" s="36">
        <f t="shared" si="1"/>
        <v>212</v>
      </c>
      <c r="C24" s="17">
        <f t="shared" si="2"/>
        <v>450</v>
      </c>
      <c r="D24" s="43">
        <v>149</v>
      </c>
      <c r="E24" s="43">
        <v>48</v>
      </c>
      <c r="F24" s="43">
        <v>4</v>
      </c>
      <c r="G24" s="43">
        <v>11</v>
      </c>
      <c r="H24" s="43">
        <v>0</v>
      </c>
      <c r="I24" s="43">
        <v>0</v>
      </c>
      <c r="J24" s="43">
        <v>0</v>
      </c>
      <c r="K24" s="43">
        <v>327</v>
      </c>
      <c r="L24" s="43">
        <v>94</v>
      </c>
      <c r="M24" s="43">
        <v>6</v>
      </c>
      <c r="N24" s="43">
        <v>23</v>
      </c>
      <c r="O24" s="43">
        <v>0</v>
      </c>
      <c r="P24" s="43">
        <v>0</v>
      </c>
      <c r="Q24" s="43">
        <v>0</v>
      </c>
    </row>
    <row r="25" spans="1:17" x14ac:dyDescent="0.35">
      <c r="A25" s="16" t="s">
        <v>82</v>
      </c>
      <c r="B25" s="36">
        <f t="shared" si="1"/>
        <v>50</v>
      </c>
      <c r="C25" s="17">
        <f t="shared" si="2"/>
        <v>50</v>
      </c>
      <c r="D25" s="43">
        <v>15</v>
      </c>
      <c r="E25" s="43">
        <v>6</v>
      </c>
      <c r="F25" s="43">
        <v>2</v>
      </c>
      <c r="G25" s="43">
        <v>27</v>
      </c>
      <c r="H25" s="43">
        <v>0</v>
      </c>
      <c r="I25" s="43">
        <v>0</v>
      </c>
      <c r="J25" s="43">
        <v>0</v>
      </c>
      <c r="K25" s="43">
        <v>15</v>
      </c>
      <c r="L25" s="43">
        <v>6</v>
      </c>
      <c r="M25" s="43">
        <v>2</v>
      </c>
      <c r="N25" s="43">
        <v>27</v>
      </c>
      <c r="O25" s="43">
        <v>0</v>
      </c>
      <c r="P25" s="43">
        <v>0</v>
      </c>
      <c r="Q25" s="43">
        <v>0</v>
      </c>
    </row>
    <row r="26" spans="1:17" x14ac:dyDescent="0.35">
      <c r="A26" s="16" t="s">
        <v>65</v>
      </c>
      <c r="B26" s="36">
        <f t="shared" si="1"/>
        <v>2</v>
      </c>
      <c r="C26" s="17">
        <f t="shared" si="2"/>
        <v>2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2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2</v>
      </c>
      <c r="Q26" s="43">
        <v>0</v>
      </c>
    </row>
    <row r="27" spans="1:17" x14ac:dyDescent="0.35">
      <c r="A27" s="16" t="s">
        <v>74</v>
      </c>
      <c r="B27" s="36">
        <f t="shared" si="1"/>
        <v>3</v>
      </c>
      <c r="C27" s="17">
        <f t="shared" si="2"/>
        <v>3</v>
      </c>
      <c r="D27" s="43">
        <v>0</v>
      </c>
      <c r="E27" s="43">
        <v>0</v>
      </c>
      <c r="F27" s="43">
        <v>0</v>
      </c>
      <c r="G27" s="43">
        <v>0</v>
      </c>
      <c r="H27" s="43">
        <v>0</v>
      </c>
      <c r="I27" s="43">
        <v>3</v>
      </c>
      <c r="J27" s="43">
        <v>0</v>
      </c>
      <c r="K27" s="43">
        <v>0</v>
      </c>
      <c r="L27" s="43">
        <v>0</v>
      </c>
      <c r="M27" s="43">
        <v>0</v>
      </c>
      <c r="N27" s="43">
        <v>0</v>
      </c>
      <c r="O27" s="43">
        <v>0</v>
      </c>
      <c r="P27" s="43">
        <v>3</v>
      </c>
      <c r="Q27" s="43">
        <v>0</v>
      </c>
    </row>
    <row r="28" spans="1:17" x14ac:dyDescent="0.35">
      <c r="A28" s="16" t="s">
        <v>75</v>
      </c>
      <c r="B28" s="36">
        <f t="shared" si="1"/>
        <v>1</v>
      </c>
      <c r="C28" s="17">
        <f t="shared" si="2"/>
        <v>1</v>
      </c>
      <c r="D28" s="43">
        <v>0</v>
      </c>
      <c r="E28" s="43">
        <v>0</v>
      </c>
      <c r="F28" s="43">
        <v>0</v>
      </c>
      <c r="G28" s="43">
        <v>1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1</v>
      </c>
      <c r="O28" s="43">
        <v>0</v>
      </c>
      <c r="P28" s="43">
        <v>0</v>
      </c>
      <c r="Q28" s="43">
        <v>0</v>
      </c>
    </row>
    <row r="29" spans="1:17" x14ac:dyDescent="0.35">
      <c r="A29" s="16" t="s">
        <v>76</v>
      </c>
      <c r="B29" s="36">
        <f t="shared" si="1"/>
        <v>1</v>
      </c>
      <c r="C29" s="17">
        <f t="shared" si="2"/>
        <v>1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1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1</v>
      </c>
      <c r="Q29" s="43">
        <v>0</v>
      </c>
    </row>
    <row r="30" spans="1:17" x14ac:dyDescent="0.35">
      <c r="A30" s="16" t="s">
        <v>85</v>
      </c>
      <c r="B30" s="36">
        <f t="shared" si="1"/>
        <v>1</v>
      </c>
      <c r="C30" s="17">
        <f t="shared" si="2"/>
        <v>1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1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1</v>
      </c>
      <c r="Q30" s="43">
        <v>0</v>
      </c>
    </row>
    <row r="31" spans="1:17" x14ac:dyDescent="0.35">
      <c r="A31" s="16" t="s">
        <v>31</v>
      </c>
      <c r="B31" s="36">
        <f t="shared" si="1"/>
        <v>32</v>
      </c>
      <c r="C31" s="17">
        <f t="shared" si="2"/>
        <v>52</v>
      </c>
      <c r="D31" s="43">
        <v>11</v>
      </c>
      <c r="E31" s="43">
        <v>13</v>
      </c>
      <c r="F31" s="43">
        <v>6</v>
      </c>
      <c r="G31" s="43">
        <v>2</v>
      </c>
      <c r="H31" s="43">
        <v>0</v>
      </c>
      <c r="I31" s="43">
        <v>0</v>
      </c>
      <c r="J31" s="43">
        <v>0</v>
      </c>
      <c r="K31" s="43">
        <v>18</v>
      </c>
      <c r="L31" s="43">
        <v>20</v>
      </c>
      <c r="M31" s="43">
        <v>10</v>
      </c>
      <c r="N31" s="43">
        <v>4</v>
      </c>
      <c r="O31" s="43">
        <v>0</v>
      </c>
      <c r="P31" s="43">
        <v>0</v>
      </c>
      <c r="Q31" s="43">
        <v>0</v>
      </c>
    </row>
    <row r="32" spans="1:17" x14ac:dyDescent="0.35">
      <c r="A32" s="16" t="s">
        <v>32</v>
      </c>
      <c r="B32" s="36">
        <f t="shared" si="1"/>
        <v>17</v>
      </c>
      <c r="C32" s="17">
        <f t="shared" si="2"/>
        <v>29</v>
      </c>
      <c r="D32" s="43">
        <v>9</v>
      </c>
      <c r="E32" s="43">
        <v>6</v>
      </c>
      <c r="F32" s="43">
        <v>2</v>
      </c>
      <c r="G32" s="43">
        <v>0</v>
      </c>
      <c r="H32" s="43">
        <v>0</v>
      </c>
      <c r="I32" s="43">
        <v>0</v>
      </c>
      <c r="J32" s="43">
        <v>0</v>
      </c>
      <c r="K32" s="43">
        <v>17</v>
      </c>
      <c r="L32" s="43">
        <v>8</v>
      </c>
      <c r="M32" s="43">
        <v>4</v>
      </c>
      <c r="N32" s="43">
        <v>0</v>
      </c>
      <c r="O32" s="43">
        <v>0</v>
      </c>
      <c r="P32" s="43">
        <v>0</v>
      </c>
      <c r="Q32" s="43">
        <v>0</v>
      </c>
    </row>
    <row r="33" spans="1:23" x14ac:dyDescent="0.35">
      <c r="A33" s="16" t="s">
        <v>33</v>
      </c>
      <c r="B33" s="36">
        <f t="shared" si="1"/>
        <v>63</v>
      </c>
      <c r="C33" s="17">
        <f t="shared" si="2"/>
        <v>97</v>
      </c>
      <c r="D33" s="43">
        <v>36</v>
      </c>
      <c r="E33" s="43">
        <v>11</v>
      </c>
      <c r="F33" s="43">
        <v>10</v>
      </c>
      <c r="G33" s="43">
        <v>6</v>
      </c>
      <c r="H33" s="43">
        <v>0</v>
      </c>
      <c r="I33" s="43">
        <v>0</v>
      </c>
      <c r="J33" s="43">
        <v>0</v>
      </c>
      <c r="K33" s="43">
        <v>57</v>
      </c>
      <c r="L33" s="43">
        <v>13</v>
      </c>
      <c r="M33" s="43">
        <v>15</v>
      </c>
      <c r="N33" s="43">
        <v>12</v>
      </c>
      <c r="O33" s="43">
        <v>0</v>
      </c>
      <c r="P33" s="43">
        <v>0</v>
      </c>
      <c r="Q33" s="43">
        <v>0</v>
      </c>
    </row>
    <row r="34" spans="1:23" x14ac:dyDescent="0.35">
      <c r="A34" s="16" t="s">
        <v>34</v>
      </c>
      <c r="B34" s="36">
        <f t="shared" si="1"/>
        <v>904</v>
      </c>
      <c r="C34" s="17">
        <f t="shared" si="2"/>
        <v>1447</v>
      </c>
      <c r="D34" s="43">
        <v>586</v>
      </c>
      <c r="E34" s="43">
        <v>193</v>
      </c>
      <c r="F34" s="43">
        <v>45</v>
      </c>
      <c r="G34" s="43">
        <v>80</v>
      </c>
      <c r="H34" s="43">
        <v>0</v>
      </c>
      <c r="I34" s="43">
        <v>0</v>
      </c>
      <c r="J34" s="43">
        <v>0</v>
      </c>
      <c r="K34" s="43">
        <v>949</v>
      </c>
      <c r="L34" s="43">
        <v>293</v>
      </c>
      <c r="M34" s="43">
        <v>78</v>
      </c>
      <c r="N34" s="43">
        <v>127</v>
      </c>
      <c r="O34" s="43">
        <v>0</v>
      </c>
      <c r="P34" s="43">
        <v>0</v>
      </c>
      <c r="Q34" s="43">
        <v>0</v>
      </c>
    </row>
    <row r="35" spans="1:23" x14ac:dyDescent="0.35">
      <c r="A35" s="16" t="s">
        <v>35</v>
      </c>
      <c r="B35" s="36">
        <f t="shared" si="1"/>
        <v>446</v>
      </c>
      <c r="C35" s="17">
        <f t="shared" si="2"/>
        <v>736</v>
      </c>
      <c r="D35" s="43">
        <v>193</v>
      </c>
      <c r="E35" s="43">
        <v>147</v>
      </c>
      <c r="F35" s="43">
        <v>19</v>
      </c>
      <c r="G35" s="43">
        <v>87</v>
      </c>
      <c r="H35" s="43">
        <v>0</v>
      </c>
      <c r="I35" s="43">
        <v>0</v>
      </c>
      <c r="J35" s="43">
        <v>0</v>
      </c>
      <c r="K35" s="43">
        <v>319</v>
      </c>
      <c r="L35" s="43">
        <v>253</v>
      </c>
      <c r="M35" s="43">
        <v>33</v>
      </c>
      <c r="N35" s="43">
        <v>131</v>
      </c>
      <c r="O35" s="43">
        <v>0</v>
      </c>
      <c r="P35" s="43">
        <v>0</v>
      </c>
      <c r="Q35" s="43">
        <v>0</v>
      </c>
    </row>
    <row r="36" spans="1:23" x14ac:dyDescent="0.35">
      <c r="A36" s="16" t="s">
        <v>36</v>
      </c>
      <c r="B36" s="36">
        <f t="shared" si="1"/>
        <v>38</v>
      </c>
      <c r="C36" s="17">
        <f t="shared" si="2"/>
        <v>48</v>
      </c>
      <c r="D36" s="43">
        <v>17</v>
      </c>
      <c r="E36" s="43">
        <v>13</v>
      </c>
      <c r="F36" s="43">
        <v>3</v>
      </c>
      <c r="G36" s="43">
        <v>5</v>
      </c>
      <c r="H36" s="43">
        <v>0</v>
      </c>
      <c r="I36" s="43">
        <v>0</v>
      </c>
      <c r="J36" s="43">
        <v>0</v>
      </c>
      <c r="K36" s="43">
        <v>20</v>
      </c>
      <c r="L36" s="43">
        <v>19</v>
      </c>
      <c r="M36" s="43">
        <v>3</v>
      </c>
      <c r="N36" s="43">
        <v>6</v>
      </c>
      <c r="O36" s="43">
        <v>0</v>
      </c>
      <c r="P36" s="43">
        <v>0</v>
      </c>
      <c r="Q36" s="43">
        <v>0</v>
      </c>
    </row>
    <row r="37" spans="1:23" x14ac:dyDescent="0.35">
      <c r="A37" s="16" t="s">
        <v>37</v>
      </c>
      <c r="B37" s="36">
        <f t="shared" si="1"/>
        <v>157</v>
      </c>
      <c r="C37" s="17">
        <f t="shared" si="2"/>
        <v>258</v>
      </c>
      <c r="D37" s="43">
        <v>84</v>
      </c>
      <c r="E37" s="43">
        <v>54</v>
      </c>
      <c r="F37" s="43">
        <v>7</v>
      </c>
      <c r="G37" s="43">
        <v>12</v>
      </c>
      <c r="H37" s="43">
        <v>0</v>
      </c>
      <c r="I37" s="43">
        <v>0</v>
      </c>
      <c r="J37" s="43">
        <v>0</v>
      </c>
      <c r="K37" s="43">
        <v>138</v>
      </c>
      <c r="L37" s="43">
        <v>87</v>
      </c>
      <c r="M37" s="43">
        <v>13</v>
      </c>
      <c r="N37" s="43">
        <v>20</v>
      </c>
      <c r="O37" s="43">
        <v>0</v>
      </c>
      <c r="P37" s="43">
        <v>0</v>
      </c>
      <c r="Q37" s="43">
        <v>0</v>
      </c>
    </row>
    <row r="38" spans="1:23" x14ac:dyDescent="0.35">
      <c r="A38" s="16" t="s">
        <v>38</v>
      </c>
      <c r="B38" s="36">
        <f t="shared" si="1"/>
        <v>194</v>
      </c>
      <c r="C38" s="17">
        <f t="shared" si="2"/>
        <v>627</v>
      </c>
      <c r="D38" s="43">
        <v>119</v>
      </c>
      <c r="E38" s="43">
        <v>43</v>
      </c>
      <c r="F38" s="43">
        <v>7</v>
      </c>
      <c r="G38" s="43">
        <v>25</v>
      </c>
      <c r="H38" s="43">
        <v>0</v>
      </c>
      <c r="I38" s="43">
        <v>0</v>
      </c>
      <c r="J38" s="43">
        <v>0</v>
      </c>
      <c r="K38" s="43">
        <v>393</v>
      </c>
      <c r="L38" s="43">
        <v>132</v>
      </c>
      <c r="M38" s="43">
        <v>23</v>
      </c>
      <c r="N38" s="43">
        <v>79</v>
      </c>
      <c r="O38" s="43">
        <v>0</v>
      </c>
      <c r="P38" s="43">
        <v>0</v>
      </c>
      <c r="Q38" s="43">
        <v>0</v>
      </c>
    </row>
    <row r="39" spans="1:23" x14ac:dyDescent="0.35">
      <c r="A39" s="16" t="s">
        <v>96</v>
      </c>
      <c r="B39" s="36">
        <f t="shared" si="1"/>
        <v>144</v>
      </c>
      <c r="C39" s="17">
        <f t="shared" si="2"/>
        <v>180</v>
      </c>
      <c r="D39" s="43">
        <v>95</v>
      </c>
      <c r="E39" s="43">
        <v>48</v>
      </c>
      <c r="F39" s="43">
        <v>1</v>
      </c>
      <c r="G39" s="43">
        <v>0</v>
      </c>
      <c r="H39" s="43">
        <v>0</v>
      </c>
      <c r="I39" s="43">
        <v>0</v>
      </c>
      <c r="J39" s="43">
        <v>0</v>
      </c>
      <c r="K39" s="43">
        <v>119</v>
      </c>
      <c r="L39" s="43">
        <v>60</v>
      </c>
      <c r="M39" s="43">
        <v>1</v>
      </c>
      <c r="N39" s="43">
        <v>0</v>
      </c>
      <c r="O39" s="43">
        <v>0</v>
      </c>
      <c r="P39" s="43">
        <v>0</v>
      </c>
      <c r="Q39" s="43">
        <v>0</v>
      </c>
    </row>
    <row r="40" spans="1:23" x14ac:dyDescent="0.35">
      <c r="A40" s="16" t="s">
        <v>97</v>
      </c>
      <c r="B40" s="36">
        <f t="shared" si="1"/>
        <v>155</v>
      </c>
      <c r="C40" s="17">
        <f t="shared" si="2"/>
        <v>195</v>
      </c>
      <c r="D40" s="43">
        <v>122</v>
      </c>
      <c r="E40" s="43">
        <v>30</v>
      </c>
      <c r="F40" s="43">
        <v>3</v>
      </c>
      <c r="G40" s="43">
        <v>0</v>
      </c>
      <c r="H40" s="43">
        <v>0</v>
      </c>
      <c r="I40" s="43">
        <v>0</v>
      </c>
      <c r="J40" s="43">
        <v>0</v>
      </c>
      <c r="K40" s="43">
        <v>157</v>
      </c>
      <c r="L40" s="43">
        <v>35</v>
      </c>
      <c r="M40" s="43">
        <v>3</v>
      </c>
      <c r="N40" s="43">
        <v>0</v>
      </c>
      <c r="O40" s="43">
        <v>0</v>
      </c>
      <c r="P40" s="43">
        <v>0</v>
      </c>
      <c r="Q40" s="43">
        <v>0</v>
      </c>
    </row>
    <row r="41" spans="1:23" x14ac:dyDescent="0.35">
      <c r="A41" s="16" t="s">
        <v>98</v>
      </c>
      <c r="B41" s="36">
        <f t="shared" si="1"/>
        <v>162</v>
      </c>
      <c r="C41" s="17">
        <f t="shared" si="2"/>
        <v>202</v>
      </c>
      <c r="D41" s="43">
        <v>98</v>
      </c>
      <c r="E41" s="43">
        <v>58</v>
      </c>
      <c r="F41" s="43">
        <v>6</v>
      </c>
      <c r="G41" s="43">
        <v>0</v>
      </c>
      <c r="H41" s="43">
        <v>0</v>
      </c>
      <c r="I41" s="43">
        <v>0</v>
      </c>
      <c r="J41" s="43">
        <v>0</v>
      </c>
      <c r="K41" s="43">
        <v>124</v>
      </c>
      <c r="L41" s="43">
        <v>72</v>
      </c>
      <c r="M41" s="43">
        <v>6</v>
      </c>
      <c r="N41" s="43">
        <v>0</v>
      </c>
      <c r="O41" s="43">
        <v>0</v>
      </c>
      <c r="P41" s="43">
        <v>0</v>
      </c>
      <c r="Q41" s="43">
        <v>0</v>
      </c>
    </row>
    <row r="42" spans="1:23" x14ac:dyDescent="0.35">
      <c r="A42" s="16" t="s">
        <v>39</v>
      </c>
      <c r="B42" s="36">
        <f t="shared" si="1"/>
        <v>33</v>
      </c>
      <c r="C42" s="17">
        <f t="shared" si="2"/>
        <v>55</v>
      </c>
      <c r="D42" s="43">
        <v>24</v>
      </c>
      <c r="E42" s="43">
        <v>7</v>
      </c>
      <c r="F42" s="43">
        <v>1</v>
      </c>
      <c r="G42" s="43">
        <v>1</v>
      </c>
      <c r="H42" s="43">
        <v>0</v>
      </c>
      <c r="I42" s="43">
        <v>0</v>
      </c>
      <c r="J42" s="43">
        <v>0</v>
      </c>
      <c r="K42" s="43">
        <v>41</v>
      </c>
      <c r="L42" s="43">
        <v>12</v>
      </c>
      <c r="M42" s="43">
        <v>1</v>
      </c>
      <c r="N42" s="43">
        <v>1</v>
      </c>
      <c r="O42" s="43">
        <v>0</v>
      </c>
      <c r="P42" s="43">
        <v>0</v>
      </c>
      <c r="Q42" s="43">
        <v>0</v>
      </c>
    </row>
    <row r="43" spans="1:23" x14ac:dyDescent="0.35">
      <c r="A43" s="16" t="s">
        <v>40</v>
      </c>
      <c r="B43" s="36">
        <f t="shared" si="1"/>
        <v>76</v>
      </c>
      <c r="C43" s="17">
        <f t="shared" si="2"/>
        <v>130</v>
      </c>
      <c r="D43" s="43">
        <v>24</v>
      </c>
      <c r="E43" s="43">
        <v>30</v>
      </c>
      <c r="F43" s="43">
        <v>14</v>
      </c>
      <c r="G43" s="43">
        <v>8</v>
      </c>
      <c r="H43" s="43">
        <v>0</v>
      </c>
      <c r="I43" s="43">
        <v>0</v>
      </c>
      <c r="J43" s="43">
        <v>0</v>
      </c>
      <c r="K43" s="43">
        <v>41</v>
      </c>
      <c r="L43" s="43">
        <v>51</v>
      </c>
      <c r="M43" s="43">
        <v>27</v>
      </c>
      <c r="N43" s="43">
        <v>11</v>
      </c>
      <c r="O43" s="43">
        <v>0</v>
      </c>
      <c r="P43" s="43">
        <v>0</v>
      </c>
      <c r="Q43" s="43">
        <v>0</v>
      </c>
    </row>
    <row r="44" spans="1:23" x14ac:dyDescent="0.35">
      <c r="A44" s="16" t="s">
        <v>41</v>
      </c>
      <c r="B44" s="36">
        <f t="shared" si="1"/>
        <v>20</v>
      </c>
      <c r="C44" s="17">
        <f t="shared" si="2"/>
        <v>35</v>
      </c>
      <c r="D44" s="43">
        <v>5</v>
      </c>
      <c r="E44" s="43">
        <v>12</v>
      </c>
      <c r="F44" s="43">
        <v>3</v>
      </c>
      <c r="G44" s="43">
        <v>0</v>
      </c>
      <c r="H44" s="43">
        <v>0</v>
      </c>
      <c r="I44" s="43">
        <v>0</v>
      </c>
      <c r="J44" s="43">
        <v>0</v>
      </c>
      <c r="K44" s="43">
        <v>10</v>
      </c>
      <c r="L44" s="43">
        <v>20</v>
      </c>
      <c r="M44" s="43">
        <v>5</v>
      </c>
      <c r="N44" s="43">
        <v>0</v>
      </c>
      <c r="O44" s="43">
        <v>0</v>
      </c>
      <c r="P44" s="43">
        <v>0</v>
      </c>
      <c r="Q44" s="43">
        <v>0</v>
      </c>
    </row>
    <row r="45" spans="1:23" x14ac:dyDescent="0.35">
      <c r="A45" s="16" t="s">
        <v>109</v>
      </c>
      <c r="B45" s="36">
        <f t="shared" si="1"/>
        <v>21</v>
      </c>
      <c r="C45" s="17">
        <f t="shared" si="2"/>
        <v>30</v>
      </c>
      <c r="D45" s="43">
        <v>10</v>
      </c>
      <c r="E45" s="43">
        <v>9</v>
      </c>
      <c r="F45" s="43">
        <v>1</v>
      </c>
      <c r="G45" s="43">
        <v>1</v>
      </c>
      <c r="H45" s="43">
        <v>0</v>
      </c>
      <c r="I45" s="43">
        <v>0</v>
      </c>
      <c r="J45" s="43">
        <v>0</v>
      </c>
      <c r="K45" s="43">
        <v>14</v>
      </c>
      <c r="L45" s="43">
        <v>12</v>
      </c>
      <c r="M45" s="43">
        <v>2</v>
      </c>
      <c r="N45" s="43">
        <v>2</v>
      </c>
      <c r="O45" s="43">
        <v>0</v>
      </c>
      <c r="P45" s="43">
        <v>0</v>
      </c>
      <c r="Q45" s="43">
        <v>0</v>
      </c>
    </row>
    <row r="46" spans="1:23" x14ac:dyDescent="0.35">
      <c r="A46" s="16" t="s">
        <v>42</v>
      </c>
      <c r="B46" s="36">
        <f t="shared" si="1"/>
        <v>36</v>
      </c>
      <c r="C46" s="17">
        <f t="shared" si="2"/>
        <v>58</v>
      </c>
      <c r="D46" s="43">
        <v>23</v>
      </c>
      <c r="E46" s="43">
        <v>4</v>
      </c>
      <c r="F46" s="43">
        <v>2</v>
      </c>
      <c r="G46" s="43">
        <v>7</v>
      </c>
      <c r="H46" s="43">
        <v>0</v>
      </c>
      <c r="I46" s="43">
        <v>0</v>
      </c>
      <c r="J46" s="43">
        <v>0</v>
      </c>
      <c r="K46" s="43">
        <v>37</v>
      </c>
      <c r="L46" s="43">
        <v>8</v>
      </c>
      <c r="M46" s="43">
        <v>4</v>
      </c>
      <c r="N46" s="43">
        <v>9</v>
      </c>
      <c r="O46" s="43">
        <v>0</v>
      </c>
      <c r="P46" s="43">
        <v>0</v>
      </c>
      <c r="Q46" s="43">
        <v>0</v>
      </c>
    </row>
    <row r="47" spans="1:23" x14ac:dyDescent="0.35">
      <c r="A47" s="37">
        <v>3753</v>
      </c>
      <c r="B47" s="38">
        <f t="shared" ref="B47:Q47" si="3">SUM(B48:B54)</f>
        <v>999</v>
      </c>
      <c r="C47" s="38">
        <f t="shared" si="3"/>
        <v>1490</v>
      </c>
      <c r="D47" s="38">
        <f t="shared" si="3"/>
        <v>606</v>
      </c>
      <c r="E47" s="38">
        <f t="shared" si="3"/>
        <v>268</v>
      </c>
      <c r="F47" s="38">
        <f t="shared" si="3"/>
        <v>38</v>
      </c>
      <c r="G47" s="19">
        <f t="shared" si="3"/>
        <v>87</v>
      </c>
      <c r="H47" s="19">
        <f t="shared" si="3"/>
        <v>0</v>
      </c>
      <c r="I47" s="19">
        <f t="shared" si="3"/>
        <v>0</v>
      </c>
      <c r="J47" s="19">
        <f t="shared" si="3"/>
        <v>0</v>
      </c>
      <c r="K47" s="19">
        <f t="shared" si="3"/>
        <v>918</v>
      </c>
      <c r="L47" s="19">
        <f t="shared" si="3"/>
        <v>392</v>
      </c>
      <c r="M47" s="19">
        <f t="shared" si="3"/>
        <v>56</v>
      </c>
      <c r="N47" s="19">
        <f t="shared" si="3"/>
        <v>124</v>
      </c>
      <c r="O47" s="19">
        <f t="shared" si="3"/>
        <v>0</v>
      </c>
      <c r="P47" s="19">
        <f t="shared" si="3"/>
        <v>0</v>
      </c>
      <c r="Q47" s="19">
        <f t="shared" si="3"/>
        <v>0</v>
      </c>
    </row>
    <row r="48" spans="1:23" x14ac:dyDescent="0.35">
      <c r="A48" s="16" t="s">
        <v>110</v>
      </c>
      <c r="B48" s="39">
        <f t="shared" ref="B48:B54" si="4">SUM(D48:J48)</f>
        <v>3</v>
      </c>
      <c r="C48" s="39">
        <f t="shared" ref="C48:C54" si="5">SUM(K48:Q48)</f>
        <v>4</v>
      </c>
      <c r="D48" s="43">
        <v>2</v>
      </c>
      <c r="E48" s="43">
        <v>1</v>
      </c>
      <c r="F48" s="43">
        <v>0</v>
      </c>
      <c r="G48" s="43">
        <v>0</v>
      </c>
      <c r="H48" s="16">
        <v>0</v>
      </c>
      <c r="I48" s="16">
        <v>0</v>
      </c>
      <c r="J48" s="43">
        <v>0</v>
      </c>
      <c r="K48" s="43">
        <v>3</v>
      </c>
      <c r="L48" s="43">
        <v>1</v>
      </c>
      <c r="M48" s="43">
        <v>0</v>
      </c>
      <c r="N48" s="43">
        <v>0</v>
      </c>
      <c r="O48" s="16">
        <v>0</v>
      </c>
      <c r="P48" s="16">
        <v>0</v>
      </c>
      <c r="Q48" s="16">
        <v>0</v>
      </c>
      <c r="R48" s="15"/>
      <c r="S48" s="15"/>
      <c r="T48" s="15"/>
      <c r="U48" s="15"/>
      <c r="V48" s="15"/>
      <c r="W48" s="15"/>
    </row>
    <row r="49" spans="1:23" x14ac:dyDescent="0.35">
      <c r="A49" s="16" t="s">
        <v>43</v>
      </c>
      <c r="B49" s="39">
        <f t="shared" si="4"/>
        <v>98</v>
      </c>
      <c r="C49" s="39">
        <f t="shared" si="5"/>
        <v>152</v>
      </c>
      <c r="D49" s="43">
        <v>50</v>
      </c>
      <c r="E49" s="43">
        <v>33</v>
      </c>
      <c r="F49" s="43">
        <v>8</v>
      </c>
      <c r="G49" s="43">
        <v>7</v>
      </c>
      <c r="H49" s="16">
        <v>0</v>
      </c>
      <c r="I49" s="16">
        <v>0</v>
      </c>
      <c r="J49" s="43">
        <v>0</v>
      </c>
      <c r="K49" s="43">
        <v>86</v>
      </c>
      <c r="L49" s="43">
        <v>45</v>
      </c>
      <c r="M49" s="43">
        <v>11</v>
      </c>
      <c r="N49" s="43">
        <v>10</v>
      </c>
      <c r="O49" s="16">
        <v>0</v>
      </c>
      <c r="P49" s="16">
        <v>0</v>
      </c>
      <c r="Q49" s="16">
        <v>0</v>
      </c>
    </row>
    <row r="50" spans="1:23" x14ac:dyDescent="0.35">
      <c r="A50" s="16" t="s">
        <v>111</v>
      </c>
      <c r="B50" s="39">
        <f t="shared" si="4"/>
        <v>155</v>
      </c>
      <c r="C50" s="39">
        <f t="shared" si="5"/>
        <v>204</v>
      </c>
      <c r="D50" s="43">
        <v>104</v>
      </c>
      <c r="E50" s="43">
        <v>51</v>
      </c>
      <c r="F50" s="43">
        <v>0</v>
      </c>
      <c r="G50" s="43">
        <v>0</v>
      </c>
      <c r="H50" s="16">
        <v>0</v>
      </c>
      <c r="I50" s="16">
        <v>0</v>
      </c>
      <c r="J50" s="43">
        <v>0</v>
      </c>
      <c r="K50" s="43">
        <v>137</v>
      </c>
      <c r="L50" s="43">
        <v>67</v>
      </c>
      <c r="M50" s="43">
        <v>0</v>
      </c>
      <c r="N50" s="43">
        <v>0</v>
      </c>
      <c r="O50" s="16">
        <v>0</v>
      </c>
      <c r="P50" s="16">
        <v>0</v>
      </c>
      <c r="Q50" s="16">
        <v>0</v>
      </c>
    </row>
    <row r="51" spans="1:23" x14ac:dyDescent="0.35">
      <c r="A51" s="16" t="s">
        <v>44</v>
      </c>
      <c r="B51" s="39">
        <f t="shared" si="4"/>
        <v>36</v>
      </c>
      <c r="C51" s="39">
        <f t="shared" si="5"/>
        <v>55</v>
      </c>
      <c r="D51" s="43">
        <v>19</v>
      </c>
      <c r="E51" s="43">
        <v>10</v>
      </c>
      <c r="F51" s="43">
        <v>5</v>
      </c>
      <c r="G51" s="43">
        <v>2</v>
      </c>
      <c r="H51" s="16">
        <v>0</v>
      </c>
      <c r="I51" s="16">
        <v>0</v>
      </c>
      <c r="J51" s="43">
        <v>0</v>
      </c>
      <c r="K51" s="43">
        <v>30</v>
      </c>
      <c r="L51" s="43">
        <v>15</v>
      </c>
      <c r="M51" s="43">
        <v>7</v>
      </c>
      <c r="N51" s="43">
        <v>3</v>
      </c>
      <c r="O51" s="16">
        <v>0</v>
      </c>
      <c r="P51" s="16">
        <v>0</v>
      </c>
      <c r="Q51" s="16">
        <v>0</v>
      </c>
    </row>
    <row r="52" spans="1:23" x14ac:dyDescent="0.35">
      <c r="A52" s="16" t="s">
        <v>45</v>
      </c>
      <c r="B52" s="39">
        <f t="shared" si="4"/>
        <v>149</v>
      </c>
      <c r="C52" s="39">
        <f t="shared" si="5"/>
        <v>242</v>
      </c>
      <c r="D52" s="43">
        <v>98</v>
      </c>
      <c r="E52" s="43">
        <v>35</v>
      </c>
      <c r="F52" s="43">
        <v>6</v>
      </c>
      <c r="G52" s="43">
        <v>10</v>
      </c>
      <c r="H52" s="16">
        <v>0</v>
      </c>
      <c r="I52" s="16">
        <v>0</v>
      </c>
      <c r="J52" s="43">
        <v>0</v>
      </c>
      <c r="K52" s="43">
        <v>153</v>
      </c>
      <c r="L52" s="43">
        <v>65</v>
      </c>
      <c r="M52" s="43">
        <v>10</v>
      </c>
      <c r="N52" s="43">
        <v>14</v>
      </c>
      <c r="O52" s="16">
        <v>0</v>
      </c>
      <c r="P52" s="16">
        <v>0</v>
      </c>
      <c r="Q52" s="16">
        <v>0</v>
      </c>
    </row>
    <row r="53" spans="1:23" x14ac:dyDescent="0.35">
      <c r="A53" s="16" t="s">
        <v>100</v>
      </c>
      <c r="B53" s="39">
        <f t="shared" si="4"/>
        <v>165</v>
      </c>
      <c r="C53" s="39">
        <f t="shared" si="5"/>
        <v>199</v>
      </c>
      <c r="D53" s="43">
        <v>105</v>
      </c>
      <c r="E53" s="43">
        <v>58</v>
      </c>
      <c r="F53" s="43">
        <v>2</v>
      </c>
      <c r="G53" s="43">
        <v>0</v>
      </c>
      <c r="H53" s="16">
        <v>0</v>
      </c>
      <c r="I53" s="16">
        <v>0</v>
      </c>
      <c r="J53" s="43">
        <v>0</v>
      </c>
      <c r="K53" s="43">
        <v>128</v>
      </c>
      <c r="L53" s="43">
        <v>69</v>
      </c>
      <c r="M53" s="43">
        <v>2</v>
      </c>
      <c r="N53" s="43">
        <v>0</v>
      </c>
      <c r="O53" s="16">
        <v>0</v>
      </c>
      <c r="P53" s="16">
        <v>0</v>
      </c>
      <c r="Q53" s="16">
        <v>0</v>
      </c>
    </row>
    <row r="54" spans="1:23" x14ac:dyDescent="0.35">
      <c r="A54" s="16" t="s">
        <v>46</v>
      </c>
      <c r="B54" s="39">
        <f t="shared" si="4"/>
        <v>393</v>
      </c>
      <c r="C54" s="39">
        <f t="shared" si="5"/>
        <v>634</v>
      </c>
      <c r="D54" s="43">
        <v>228</v>
      </c>
      <c r="E54" s="43">
        <v>80</v>
      </c>
      <c r="F54" s="43">
        <v>17</v>
      </c>
      <c r="G54" s="43">
        <v>68</v>
      </c>
      <c r="H54" s="16">
        <v>0</v>
      </c>
      <c r="I54" s="16">
        <v>0</v>
      </c>
      <c r="J54" s="43">
        <v>0</v>
      </c>
      <c r="K54" s="43">
        <v>381</v>
      </c>
      <c r="L54" s="43">
        <v>130</v>
      </c>
      <c r="M54" s="43">
        <v>26</v>
      </c>
      <c r="N54" s="43">
        <v>97</v>
      </c>
      <c r="O54" s="16">
        <v>0</v>
      </c>
      <c r="P54" s="16">
        <v>0</v>
      </c>
      <c r="Q54" s="16">
        <v>0</v>
      </c>
    </row>
    <row r="55" spans="1:23" x14ac:dyDescent="0.35">
      <c r="A55" s="37">
        <v>3754</v>
      </c>
      <c r="B55" s="38">
        <f>SUM(B56:B60)</f>
        <v>266</v>
      </c>
      <c r="C55" s="38">
        <f>SUM(C56:C60)</f>
        <v>423</v>
      </c>
      <c r="D55" s="38">
        <f t="shared" ref="D55:Q55" si="6">SUM(D56:D58)</f>
        <v>75</v>
      </c>
      <c r="E55" s="38">
        <f t="shared" si="6"/>
        <v>23</v>
      </c>
      <c r="F55" s="38">
        <f t="shared" si="6"/>
        <v>0</v>
      </c>
      <c r="G55" s="19">
        <f t="shared" si="6"/>
        <v>4</v>
      </c>
      <c r="H55" s="19">
        <f t="shared" si="6"/>
        <v>0</v>
      </c>
      <c r="I55" s="19">
        <f t="shared" si="6"/>
        <v>0</v>
      </c>
      <c r="J55" s="19">
        <f t="shared" si="6"/>
        <v>0</v>
      </c>
      <c r="K55" s="19">
        <f t="shared" si="6"/>
        <v>101</v>
      </c>
      <c r="L55" s="19">
        <f t="shared" si="6"/>
        <v>33</v>
      </c>
      <c r="M55" s="19">
        <f t="shared" si="6"/>
        <v>0</v>
      </c>
      <c r="N55" s="19">
        <f t="shared" si="6"/>
        <v>6</v>
      </c>
      <c r="O55" s="19">
        <f t="shared" si="6"/>
        <v>0</v>
      </c>
      <c r="P55" s="19">
        <f t="shared" si="6"/>
        <v>0</v>
      </c>
      <c r="Q55" s="19">
        <f t="shared" si="6"/>
        <v>0</v>
      </c>
    </row>
    <row r="56" spans="1:23" x14ac:dyDescent="0.35">
      <c r="A56" s="16" t="s">
        <v>101</v>
      </c>
      <c r="B56" s="39">
        <f>SUM(D56:J56)</f>
        <v>12</v>
      </c>
      <c r="C56" s="39">
        <f>SUM(K56:Q56)</f>
        <v>21</v>
      </c>
      <c r="D56" s="43">
        <v>7</v>
      </c>
      <c r="E56" s="43">
        <v>2</v>
      </c>
      <c r="F56" s="43">
        <v>0</v>
      </c>
      <c r="G56" s="43">
        <v>3</v>
      </c>
      <c r="H56" s="43">
        <v>0</v>
      </c>
      <c r="I56" s="16">
        <v>0</v>
      </c>
      <c r="J56" s="16">
        <v>0</v>
      </c>
      <c r="K56" s="43">
        <v>12</v>
      </c>
      <c r="L56" s="43">
        <v>4</v>
      </c>
      <c r="M56" s="43">
        <v>0</v>
      </c>
      <c r="N56" s="43">
        <v>5</v>
      </c>
      <c r="O56" s="16">
        <v>0</v>
      </c>
      <c r="P56" s="16">
        <v>0</v>
      </c>
      <c r="Q56" s="16">
        <v>0</v>
      </c>
      <c r="R56" s="15"/>
      <c r="S56" s="15"/>
      <c r="T56" s="15"/>
      <c r="U56" s="15"/>
      <c r="V56" s="15"/>
      <c r="W56" s="15"/>
    </row>
    <row r="57" spans="1:23" x14ac:dyDescent="0.35">
      <c r="A57" s="16" t="s">
        <v>47</v>
      </c>
      <c r="B57" s="39">
        <f>SUM(D57:J57)</f>
        <v>9</v>
      </c>
      <c r="C57" s="39">
        <f>SUM(K57:Q57)</f>
        <v>9</v>
      </c>
      <c r="D57" s="43">
        <v>4</v>
      </c>
      <c r="E57" s="43">
        <v>4</v>
      </c>
      <c r="F57" s="43">
        <v>0</v>
      </c>
      <c r="G57" s="43">
        <v>1</v>
      </c>
      <c r="H57" s="43">
        <v>0</v>
      </c>
      <c r="I57" s="16">
        <v>0</v>
      </c>
      <c r="J57" s="16">
        <v>0</v>
      </c>
      <c r="K57" s="43">
        <v>4</v>
      </c>
      <c r="L57" s="43">
        <v>4</v>
      </c>
      <c r="M57" s="43">
        <v>0</v>
      </c>
      <c r="N57" s="43">
        <v>1</v>
      </c>
      <c r="O57" s="16">
        <v>0</v>
      </c>
      <c r="P57" s="16">
        <v>0</v>
      </c>
      <c r="Q57" s="16">
        <v>0</v>
      </c>
    </row>
    <row r="58" spans="1:23" x14ac:dyDescent="0.35">
      <c r="A58" s="16" t="s">
        <v>102</v>
      </c>
      <c r="B58" s="39">
        <f>SUM(D58:J58)</f>
        <v>81</v>
      </c>
      <c r="C58" s="39">
        <f>SUM(K58:Q58)</f>
        <v>110</v>
      </c>
      <c r="D58" s="43">
        <v>64</v>
      </c>
      <c r="E58" s="43">
        <v>17</v>
      </c>
      <c r="F58" s="43">
        <v>0</v>
      </c>
      <c r="G58" s="43">
        <v>0</v>
      </c>
      <c r="H58" s="43">
        <v>0</v>
      </c>
      <c r="I58" s="16">
        <v>0</v>
      </c>
      <c r="J58" s="16">
        <v>0</v>
      </c>
      <c r="K58" s="43">
        <v>85</v>
      </c>
      <c r="L58" s="43">
        <v>25</v>
      </c>
      <c r="M58" s="43">
        <v>0</v>
      </c>
      <c r="N58" s="43">
        <v>0</v>
      </c>
      <c r="O58" s="16">
        <v>0</v>
      </c>
      <c r="P58" s="16">
        <v>0</v>
      </c>
      <c r="Q58" s="16">
        <v>0</v>
      </c>
    </row>
    <row r="59" spans="1:23" x14ac:dyDescent="0.35">
      <c r="A59" s="16" t="s">
        <v>48</v>
      </c>
      <c r="B59" s="39">
        <f>SUM(D59:J59)</f>
        <v>128</v>
      </c>
      <c r="C59" s="39">
        <f>SUM(K59:Q59)</f>
        <v>222</v>
      </c>
      <c r="D59" s="43">
        <v>68</v>
      </c>
      <c r="E59" s="43">
        <v>27</v>
      </c>
      <c r="F59" s="43">
        <v>5</v>
      </c>
      <c r="G59" s="43">
        <v>28</v>
      </c>
      <c r="H59" s="43">
        <v>0</v>
      </c>
      <c r="I59" s="16">
        <v>0</v>
      </c>
      <c r="J59" s="16">
        <v>0</v>
      </c>
      <c r="K59" s="43">
        <v>122</v>
      </c>
      <c r="L59" s="43">
        <v>52</v>
      </c>
      <c r="M59" s="43">
        <v>10</v>
      </c>
      <c r="N59" s="43">
        <v>38</v>
      </c>
      <c r="O59" s="16">
        <v>0</v>
      </c>
      <c r="P59" s="16">
        <v>0</v>
      </c>
      <c r="Q59" s="16">
        <v>0</v>
      </c>
    </row>
    <row r="60" spans="1:23" x14ac:dyDescent="0.35">
      <c r="A60" s="16" t="s">
        <v>49</v>
      </c>
      <c r="B60" s="39">
        <f>SUM(D60:J60)</f>
        <v>36</v>
      </c>
      <c r="C60" s="39">
        <f>SUM(K60:Q60)</f>
        <v>61</v>
      </c>
      <c r="D60" s="43">
        <v>22</v>
      </c>
      <c r="E60" s="43">
        <v>9</v>
      </c>
      <c r="F60" s="43">
        <v>2</v>
      </c>
      <c r="G60" s="43">
        <v>3</v>
      </c>
      <c r="H60" s="43">
        <v>0</v>
      </c>
      <c r="I60" s="16">
        <v>0</v>
      </c>
      <c r="J60" s="16">
        <v>0</v>
      </c>
      <c r="K60" s="43">
        <v>35</v>
      </c>
      <c r="L60" s="43">
        <v>16</v>
      </c>
      <c r="M60" s="43">
        <v>4</v>
      </c>
      <c r="N60" s="43">
        <v>6</v>
      </c>
      <c r="O60" s="16">
        <v>0</v>
      </c>
      <c r="P60" s="16">
        <v>0</v>
      </c>
      <c r="Q60" s="16">
        <v>0</v>
      </c>
    </row>
    <row r="61" spans="1:23" x14ac:dyDescent="0.35">
      <c r="A61" s="37">
        <v>3755</v>
      </c>
      <c r="B61" s="38">
        <f>D61+E61+F61+G61+H61+I61</f>
        <v>104</v>
      </c>
      <c r="C61" s="38">
        <f>K61+L61+M61+N61+O61+P61</f>
        <v>158</v>
      </c>
      <c r="D61" s="40">
        <f t="shared" ref="D61:Q61" si="7">SUM(D62:D64)</f>
        <v>46</v>
      </c>
      <c r="E61" s="40">
        <f t="shared" si="7"/>
        <v>20</v>
      </c>
      <c r="F61" s="40">
        <f t="shared" si="7"/>
        <v>12</v>
      </c>
      <c r="G61" s="32">
        <f t="shared" si="7"/>
        <v>26</v>
      </c>
      <c r="H61" s="32">
        <f t="shared" si="7"/>
        <v>0</v>
      </c>
      <c r="I61" s="32">
        <f t="shared" si="7"/>
        <v>0</v>
      </c>
      <c r="J61" s="32">
        <f t="shared" si="7"/>
        <v>0</v>
      </c>
      <c r="K61" s="32">
        <f t="shared" si="7"/>
        <v>73</v>
      </c>
      <c r="L61" s="32">
        <f t="shared" si="7"/>
        <v>32</v>
      </c>
      <c r="M61" s="32">
        <f t="shared" si="7"/>
        <v>18</v>
      </c>
      <c r="N61" s="32">
        <f t="shared" si="7"/>
        <v>35</v>
      </c>
      <c r="O61" s="32">
        <f t="shared" si="7"/>
        <v>0</v>
      </c>
      <c r="P61" s="32">
        <f t="shared" si="7"/>
        <v>0</v>
      </c>
      <c r="Q61" s="32">
        <f t="shared" si="7"/>
        <v>0</v>
      </c>
    </row>
    <row r="62" spans="1:23" x14ac:dyDescent="0.35">
      <c r="A62" s="16" t="s">
        <v>103</v>
      </c>
      <c r="B62" s="39">
        <f>D62+E62+F62+G62+H62+I62</f>
        <v>6</v>
      </c>
      <c r="C62" s="39">
        <f>K62+L62+M62+N62+O62+P62</f>
        <v>10</v>
      </c>
      <c r="D62" s="43">
        <v>2</v>
      </c>
      <c r="E62" s="43">
        <v>1</v>
      </c>
      <c r="F62" s="43">
        <v>1</v>
      </c>
      <c r="G62" s="43">
        <v>2</v>
      </c>
      <c r="H62" s="16">
        <v>0</v>
      </c>
      <c r="I62" s="16">
        <v>0</v>
      </c>
      <c r="J62" s="16">
        <v>0</v>
      </c>
      <c r="K62" s="43">
        <v>3</v>
      </c>
      <c r="L62" s="43">
        <v>4</v>
      </c>
      <c r="M62" s="43">
        <v>1</v>
      </c>
      <c r="N62" s="43">
        <v>2</v>
      </c>
      <c r="O62" s="16">
        <v>0</v>
      </c>
      <c r="P62" s="16">
        <v>0</v>
      </c>
      <c r="Q62" s="16">
        <v>0</v>
      </c>
    </row>
    <row r="63" spans="1:23" x14ac:dyDescent="0.35">
      <c r="A63" s="16" t="s">
        <v>86</v>
      </c>
      <c r="B63" s="39">
        <f>D63+E63+F63+G63+H63+I63</f>
        <v>30</v>
      </c>
      <c r="C63" s="39">
        <f>K63+L63+M63+N63+O63+P63</f>
        <v>46</v>
      </c>
      <c r="D63" s="43">
        <v>9</v>
      </c>
      <c r="E63" s="43">
        <v>5</v>
      </c>
      <c r="F63" s="43">
        <v>3</v>
      </c>
      <c r="G63" s="43">
        <v>13</v>
      </c>
      <c r="H63" s="16">
        <v>0</v>
      </c>
      <c r="I63" s="16">
        <v>0</v>
      </c>
      <c r="J63" s="16">
        <v>0</v>
      </c>
      <c r="K63" s="43">
        <v>16</v>
      </c>
      <c r="L63" s="43">
        <v>8</v>
      </c>
      <c r="M63" s="43">
        <v>3</v>
      </c>
      <c r="N63" s="43">
        <v>19</v>
      </c>
      <c r="O63" s="16">
        <v>0</v>
      </c>
      <c r="P63" s="16">
        <v>0</v>
      </c>
      <c r="Q63" s="16">
        <v>0</v>
      </c>
    </row>
    <row r="64" spans="1:23" x14ac:dyDescent="0.35">
      <c r="A64" s="16" t="s">
        <v>87</v>
      </c>
      <c r="B64" s="39">
        <f>D64+E64+F64+G64+H64+I64</f>
        <v>68</v>
      </c>
      <c r="C64" s="39">
        <f>K64+L64+M64+N64+O64+P64</f>
        <v>102</v>
      </c>
      <c r="D64" s="43">
        <v>35</v>
      </c>
      <c r="E64" s="43">
        <v>14</v>
      </c>
      <c r="F64" s="43">
        <v>8</v>
      </c>
      <c r="G64" s="43">
        <v>11</v>
      </c>
      <c r="H64" s="16">
        <v>0</v>
      </c>
      <c r="I64" s="16">
        <v>0</v>
      </c>
      <c r="J64" s="16">
        <v>0</v>
      </c>
      <c r="K64" s="43">
        <v>54</v>
      </c>
      <c r="L64" s="43">
        <v>20</v>
      </c>
      <c r="M64" s="43">
        <v>14</v>
      </c>
      <c r="N64" s="43">
        <v>14</v>
      </c>
      <c r="O64" s="16">
        <v>0</v>
      </c>
      <c r="P64" s="16">
        <v>0</v>
      </c>
      <c r="Q64" s="16">
        <v>0</v>
      </c>
    </row>
    <row r="65" spans="1:17" x14ac:dyDescent="0.35">
      <c r="A65" s="41" t="s">
        <v>50</v>
      </c>
      <c r="B65" s="41">
        <f t="shared" ref="B65:Q65" si="8">B4+B47+B55+B61</f>
        <v>6824</v>
      </c>
      <c r="C65" s="41">
        <f t="shared" si="8"/>
        <v>11137</v>
      </c>
      <c r="D65" s="41">
        <f t="shared" si="8"/>
        <v>3868</v>
      </c>
      <c r="E65" s="41">
        <f t="shared" si="8"/>
        <v>1725</v>
      </c>
      <c r="F65" s="41">
        <f t="shared" si="8"/>
        <v>378</v>
      </c>
      <c r="G65" s="41">
        <f t="shared" si="8"/>
        <v>679</v>
      </c>
      <c r="H65" s="41">
        <f t="shared" si="8"/>
        <v>1</v>
      </c>
      <c r="I65" s="41">
        <f t="shared" si="8"/>
        <v>8</v>
      </c>
      <c r="J65" s="41">
        <f t="shared" si="8"/>
        <v>1</v>
      </c>
      <c r="K65" s="41">
        <f t="shared" si="8"/>
        <v>6432</v>
      </c>
      <c r="L65" s="41">
        <f t="shared" si="8"/>
        <v>2764</v>
      </c>
      <c r="M65" s="41">
        <f t="shared" si="8"/>
        <v>610</v>
      </c>
      <c r="N65" s="41">
        <f t="shared" si="8"/>
        <v>1038</v>
      </c>
      <c r="O65" s="41">
        <f t="shared" si="8"/>
        <v>1</v>
      </c>
      <c r="P65" s="41">
        <f t="shared" si="8"/>
        <v>8</v>
      </c>
      <c r="Q65" s="41">
        <f t="shared" si="8"/>
        <v>1</v>
      </c>
    </row>
    <row r="67" spans="1:17" ht="20" x14ac:dyDescent="0.35">
      <c r="A67" s="24" t="s">
        <v>51</v>
      </c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</row>
    <row r="68" spans="1:17" x14ac:dyDescent="0.35">
      <c r="A68" s="2" t="s">
        <v>52</v>
      </c>
      <c r="B68" s="1" t="s">
        <v>8</v>
      </c>
      <c r="C68" s="1"/>
      <c r="D68" s="1" t="s">
        <v>9</v>
      </c>
      <c r="E68" s="1"/>
      <c r="F68" s="1" t="s">
        <v>10</v>
      </c>
      <c r="G68" s="1"/>
      <c r="H68" s="1" t="s">
        <v>11</v>
      </c>
      <c r="I68" s="1"/>
      <c r="J68" s="1" t="s">
        <v>68</v>
      </c>
      <c r="K68" s="1"/>
      <c r="L68" s="1" t="s">
        <v>88</v>
      </c>
      <c r="M68" s="1"/>
      <c r="N68" s="1" t="s">
        <v>53</v>
      </c>
      <c r="O68" s="1" t="s">
        <v>54</v>
      </c>
    </row>
    <row r="69" spans="1:17" x14ac:dyDescent="0.35">
      <c r="A69" s="2"/>
      <c r="B69" s="25" t="s">
        <v>55</v>
      </c>
      <c r="C69" s="25" t="s">
        <v>7</v>
      </c>
      <c r="D69" s="25" t="s">
        <v>55</v>
      </c>
      <c r="E69" s="25" t="s">
        <v>7</v>
      </c>
      <c r="F69" s="25" t="s">
        <v>55</v>
      </c>
      <c r="G69" s="25" t="s">
        <v>7</v>
      </c>
      <c r="H69" s="25" t="s">
        <v>55</v>
      </c>
      <c r="I69" s="25" t="s">
        <v>7</v>
      </c>
      <c r="J69" s="25" t="s">
        <v>55</v>
      </c>
      <c r="K69" s="25" t="s">
        <v>7</v>
      </c>
      <c r="L69" s="25" t="s">
        <v>55</v>
      </c>
      <c r="M69" s="25" t="s">
        <v>7</v>
      </c>
      <c r="N69" s="1" t="s">
        <v>53</v>
      </c>
      <c r="O69" s="1" t="s">
        <v>56</v>
      </c>
    </row>
    <row r="70" spans="1:17" x14ac:dyDescent="0.35">
      <c r="A70" s="26" t="s">
        <v>104</v>
      </c>
      <c r="B70" s="44">
        <v>174</v>
      </c>
      <c r="C70" s="44">
        <v>181</v>
      </c>
      <c r="D70" s="44">
        <v>99</v>
      </c>
      <c r="E70" s="44">
        <v>104</v>
      </c>
      <c r="F70" s="44">
        <v>51</v>
      </c>
      <c r="G70" s="44">
        <v>51</v>
      </c>
      <c r="H70" s="44">
        <v>5</v>
      </c>
      <c r="I70" s="44">
        <v>7</v>
      </c>
      <c r="J70" s="44">
        <v>0</v>
      </c>
      <c r="K70" s="44">
        <v>0</v>
      </c>
      <c r="L70" s="44">
        <v>0</v>
      </c>
      <c r="M70" s="44">
        <v>0</v>
      </c>
      <c r="N70" s="33">
        <f t="shared" ref="N70:O74" si="9">SUM(B70+D70+F70+H70+J70+L70)</f>
        <v>329</v>
      </c>
      <c r="O70" s="33">
        <f t="shared" si="9"/>
        <v>343</v>
      </c>
    </row>
    <row r="71" spans="1:17" x14ac:dyDescent="0.35">
      <c r="A71" s="26" t="s">
        <v>80</v>
      </c>
      <c r="B71" s="44">
        <v>0</v>
      </c>
      <c r="C71" s="44">
        <v>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1</v>
      </c>
      <c r="K71" s="44">
        <v>1</v>
      </c>
      <c r="L71" s="44">
        <v>0</v>
      </c>
      <c r="M71" s="44">
        <v>0</v>
      </c>
      <c r="N71" s="33">
        <f t="shared" si="9"/>
        <v>1</v>
      </c>
      <c r="O71" s="33">
        <f t="shared" si="9"/>
        <v>1</v>
      </c>
    </row>
    <row r="72" spans="1:17" x14ac:dyDescent="0.35">
      <c r="A72" s="26" t="s">
        <v>57</v>
      </c>
      <c r="B72" s="44">
        <v>2553</v>
      </c>
      <c r="C72" s="44">
        <v>4483</v>
      </c>
      <c r="D72" s="44">
        <v>1162</v>
      </c>
      <c r="E72" s="44">
        <v>1994</v>
      </c>
      <c r="F72" s="44">
        <v>279</v>
      </c>
      <c r="G72" s="44">
        <v>510</v>
      </c>
      <c r="H72" s="44">
        <v>578</v>
      </c>
      <c r="I72" s="44">
        <v>906</v>
      </c>
      <c r="J72" s="44">
        <v>0</v>
      </c>
      <c r="K72" s="44">
        <v>0</v>
      </c>
      <c r="L72" s="44">
        <v>1</v>
      </c>
      <c r="M72" s="44">
        <v>1</v>
      </c>
      <c r="N72" s="33">
        <f t="shared" si="9"/>
        <v>4573</v>
      </c>
      <c r="O72" s="33">
        <f t="shared" si="9"/>
        <v>7894</v>
      </c>
    </row>
    <row r="73" spans="1:17" x14ac:dyDescent="0.35">
      <c r="A73" s="26" t="s">
        <v>69</v>
      </c>
      <c r="B73" s="44">
        <v>15</v>
      </c>
      <c r="C73" s="44">
        <v>15</v>
      </c>
      <c r="D73" s="44">
        <v>6</v>
      </c>
      <c r="E73" s="44">
        <v>6</v>
      </c>
      <c r="F73" s="44">
        <v>2</v>
      </c>
      <c r="G73" s="44">
        <v>2</v>
      </c>
      <c r="H73" s="44">
        <v>28</v>
      </c>
      <c r="I73" s="44">
        <v>28</v>
      </c>
      <c r="J73" s="44">
        <v>5</v>
      </c>
      <c r="K73" s="44">
        <v>6</v>
      </c>
      <c r="L73" s="44">
        <v>0</v>
      </c>
      <c r="M73" s="44">
        <v>0</v>
      </c>
      <c r="N73" s="33">
        <f t="shared" si="9"/>
        <v>56</v>
      </c>
      <c r="O73" s="33">
        <f t="shared" si="9"/>
        <v>57</v>
      </c>
    </row>
    <row r="74" spans="1:17" x14ac:dyDescent="0.35">
      <c r="A74" s="26" t="s">
        <v>58</v>
      </c>
      <c r="B74" s="44">
        <v>1013</v>
      </c>
      <c r="C74" s="44">
        <v>1891</v>
      </c>
      <c r="D74" s="44">
        <v>428</v>
      </c>
      <c r="E74" s="44">
        <v>755</v>
      </c>
      <c r="F74" s="44">
        <v>34</v>
      </c>
      <c r="G74" s="44">
        <v>61</v>
      </c>
      <c r="H74" s="44">
        <v>37</v>
      </c>
      <c r="I74" s="44">
        <v>135</v>
      </c>
      <c r="J74" s="44">
        <v>0</v>
      </c>
      <c r="K74" s="44">
        <v>0</v>
      </c>
      <c r="L74" s="44">
        <v>0</v>
      </c>
      <c r="M74" s="44">
        <v>0</v>
      </c>
      <c r="N74" s="33">
        <f t="shared" si="9"/>
        <v>1512</v>
      </c>
      <c r="O74" s="33">
        <f t="shared" si="9"/>
        <v>2842</v>
      </c>
    </row>
    <row r="75" spans="1:17" x14ac:dyDescent="0.35">
      <c r="A75" s="27" t="s">
        <v>59</v>
      </c>
      <c r="B75" s="28">
        <f t="shared" ref="B75:O75" si="10">SUM(B70:B74)</f>
        <v>3755</v>
      </c>
      <c r="C75" s="28">
        <f t="shared" si="10"/>
        <v>6570</v>
      </c>
      <c r="D75" s="28">
        <f t="shared" si="10"/>
        <v>1695</v>
      </c>
      <c r="E75" s="28">
        <f t="shared" si="10"/>
        <v>2859</v>
      </c>
      <c r="F75" s="28">
        <f t="shared" si="10"/>
        <v>366</v>
      </c>
      <c r="G75" s="28">
        <f t="shared" si="10"/>
        <v>624</v>
      </c>
      <c r="H75" s="28">
        <f t="shared" si="10"/>
        <v>648</v>
      </c>
      <c r="I75" s="28">
        <f t="shared" si="10"/>
        <v>1076</v>
      </c>
      <c r="J75" s="28">
        <f t="shared" si="10"/>
        <v>6</v>
      </c>
      <c r="K75" s="28">
        <f t="shared" si="10"/>
        <v>7</v>
      </c>
      <c r="L75" s="28">
        <f t="shared" si="10"/>
        <v>1</v>
      </c>
      <c r="M75" s="28">
        <f t="shared" si="10"/>
        <v>1</v>
      </c>
      <c r="N75" s="28">
        <f t="shared" si="10"/>
        <v>6471</v>
      </c>
      <c r="O75" s="28">
        <f t="shared" si="10"/>
        <v>11137</v>
      </c>
    </row>
  </sheetData>
  <mergeCells count="13">
    <mergeCell ref="A1:O1"/>
    <mergeCell ref="B2:C2"/>
    <mergeCell ref="D2:J2"/>
    <mergeCell ref="K2:O2"/>
    <mergeCell ref="A68:A69"/>
    <mergeCell ref="B68:C68"/>
    <mergeCell ref="D68:E68"/>
    <mergeCell ref="F68:G68"/>
    <mergeCell ref="H68:I68"/>
    <mergeCell ref="J68:K68"/>
    <mergeCell ref="L68:M68"/>
    <mergeCell ref="N68:N69"/>
    <mergeCell ref="O68:O69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CenDepAcm</dc:creator>
  <dc:description/>
  <cp:lastModifiedBy>CenDepPor06</cp:lastModifiedBy>
  <cp:revision>62</cp:revision>
  <dcterms:created xsi:type="dcterms:W3CDTF">2021-02-11T16:48:26Z</dcterms:created>
  <dcterms:modified xsi:type="dcterms:W3CDTF">2026-07-02T04:23:46Z</dcterms:modified>
  <dc:language>es-CO</dc:language>
</cp:coreProperties>
</file>