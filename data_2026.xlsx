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</sheets>
  <definedNames/>
  <calcPr/>
  <extLst>
    <ext uri="GoogleSheetsCustomDataVersion2">
      <go:sheetsCustomData xmlns:go="http://customooxmlschemas.google.com/" r:id="rId9" roundtripDataChecksum="rREoArs8P5FPb255qRiUwa2GrMrkuz68cjX+NwTgVpY="/>
    </ext>
  </extLst>
</workbook>
</file>

<file path=xl/sharedStrings.xml><?xml version="1.0" encoding="utf-8"?>
<sst xmlns="http://schemas.openxmlformats.org/spreadsheetml/2006/main" count="487" uniqueCount="100">
  <si>
    <t>NÚMERO DE SERVICIOS FACTURADOS</t>
  </si>
  <si>
    <t>ACTIVIDAD</t>
  </si>
  <si>
    <t>ENERO AÑO 2026</t>
  </si>
  <si>
    <t>CATEGORIAS USUARIOS</t>
  </si>
  <si>
    <t>CATEGORIAS USOS</t>
  </si>
  <si>
    <t>ESCUELAS DEPORTIVAS</t>
  </si>
  <si>
    <t>USUARIOS</t>
  </si>
  <si>
    <t>USOS</t>
  </si>
  <si>
    <t>A</t>
  </si>
  <si>
    <t>B</t>
  </si>
  <si>
    <t>C</t>
  </si>
  <si>
    <t>D</t>
  </si>
  <si>
    <t>E</t>
  </si>
  <si>
    <t>BALONCESTO ELITE</t>
  </si>
  <si>
    <t>BODYTECH ONE</t>
  </si>
  <si>
    <t>CLUB CAMINANTES</t>
  </si>
  <si>
    <t>ESCUELA DE AJEDREZ</t>
  </si>
  <si>
    <t>ESCUELA DE BALONCESTO</t>
  </si>
  <si>
    <t>ESCUELA DE BOLOS</t>
  </si>
  <si>
    <t>ESCUELA DE FUTBOL</t>
  </si>
  <si>
    <t>ESCUELA DE FUTBOL FEMENINO</t>
  </si>
  <si>
    <t>ESCUELA DE PATINAJE</t>
  </si>
  <si>
    <t>ESCUELA DE TAEKWONDO</t>
  </si>
  <si>
    <t>ESCUELA DE TENIS DE CAMPO NINO</t>
  </si>
  <si>
    <t>ESCUELA DE TENIS DE MESA - NINO</t>
  </si>
  <si>
    <t>ESCUELA DE VOLEIBOL</t>
  </si>
  <si>
    <t>ESTIMULACION MOTRIZ STA ROSA</t>
  </si>
  <si>
    <t>FUTBOL ELITE</t>
  </si>
  <si>
    <t>GIMNASIO PAQUETE 10 SESIONES</t>
  </si>
  <si>
    <t>GIMNASIO PAQUETE 5 SESIONES</t>
  </si>
  <si>
    <t>NATACION ELITE</t>
  </si>
  <si>
    <t>PATINAJE ELITE</t>
  </si>
  <si>
    <t>PROGRAMA CLUB DE LA SALUD</t>
  </si>
  <si>
    <t>PROGRAMA DE NATACION DIA</t>
  </si>
  <si>
    <t>PROGRAMA DE NATACION DIA S</t>
  </si>
  <si>
    <t>PROGRAMA ESTIMULACION MOTRIZ</t>
  </si>
  <si>
    <t xml:space="preserve">PROGRAMA MADRES GESTANTES </t>
  </si>
  <si>
    <t>PROGRAMA NATACION NOCTURNA</t>
  </si>
  <si>
    <t>SESION GIMNASIO</t>
  </si>
  <si>
    <t>SMART FIT PEREIRA CERRITOS</t>
  </si>
  <si>
    <t>SMART FIT PEREIRA EXITO</t>
  </si>
  <si>
    <t>SMART FIT PEREIRA LA 14</t>
  </si>
  <si>
    <t>TAEKWONDO ELITE</t>
  </si>
  <si>
    <t>TENIS DE CAMPO ADULTO</t>
  </si>
  <si>
    <t>TENIS DE CAMPO ELITE</t>
  </si>
  <si>
    <t>TENIS DE MESA ADULTO</t>
  </si>
  <si>
    <t>VOLEIBOL ELITE</t>
  </si>
  <si>
    <t>BALONCESTO DOSQUEBRADAS</t>
  </si>
  <si>
    <t>BODYTECH PREMIUM</t>
  </si>
  <si>
    <t>CLUB DE LA SALUD DOSQUEBRADAS</t>
  </si>
  <si>
    <t>FUTBOL DOSQUEBRADAS</t>
  </si>
  <si>
    <t>NATACION DIA DOSQUEBRADAS</t>
  </si>
  <si>
    <t>NATACION NOCTURNA DOSQUEBRADAS</t>
  </si>
  <si>
    <t>SMART FIT DOSQUEBRADAS</t>
  </si>
  <si>
    <t>VOLEIBOL DOSQUEBRADAS</t>
  </si>
  <si>
    <t>CLUB DE LA SALUD STA ROSA</t>
  </si>
  <si>
    <t>ELITES GOLD</t>
  </si>
  <si>
    <t>ESCUELA DE FUTBOL SANTA ROSA</t>
  </si>
  <si>
    <t>ESCUELA DE TAEKWONDO	SANTA ROSA</t>
  </si>
  <si>
    <t>ESCUELA DE FUTBOL QUINCHIA</t>
  </si>
  <si>
    <t>ESCUELA NATACION QUINCHIA</t>
  </si>
  <si>
    <t>TOTAL GENERAL</t>
  </si>
  <si>
    <t>INFORMACION SUPER</t>
  </si>
  <si>
    <t>ACTIVIDAD SUPER</t>
  </si>
  <si>
    <t>Total PERSONAS</t>
  </si>
  <si>
    <t>Total USOS</t>
  </si>
  <si>
    <t>PERSONAS</t>
  </si>
  <si>
    <t>Escuelas deportivas</t>
  </si>
  <si>
    <t>Gimnasio</t>
  </si>
  <si>
    <t>Total general</t>
  </si>
  <si>
    <t>FEBRERO AÑO 2026</t>
  </si>
  <si>
    <t xml:space="preserve">INSCRIPCION FESTIVAL DEPORTIVO </t>
  </si>
  <si>
    <t>JUEGOS INTEREMPRESARIALES FUTBOL</t>
  </si>
  <si>
    <t>JUEGOS INTEREMPRESARIALES FUTSAL SINTETICA</t>
  </si>
  <si>
    <t>ACTIVATE COMFAMILIAR DOSQUEBRADAS</t>
  </si>
  <si>
    <t>ACTIVATE COMFAMILIAR SANTA ROSA</t>
  </si>
  <si>
    <t>ACTIVATE COMFAMILIAR QUINCHIA</t>
  </si>
  <si>
    <t>Recreación dirigida</t>
  </si>
  <si>
    <t>Torneos Deportivos</t>
  </si>
  <si>
    <t>MARZO AÑO 2026</t>
  </si>
  <si>
    <t xml:space="preserve">JUEGOS INTEREMPRESARIALES FUTBOL 8 </t>
  </si>
  <si>
    <t>JUEGOS INTEREMPRESARIALES TENIS DE CAMPO PARTICIPANTE</t>
  </si>
  <si>
    <t>JUEGOS INTEREMPRESARIALES TENIS DE MESA PARTICIPANTE</t>
  </si>
  <si>
    <t xml:space="preserve">MONITOR DEPORTIVO CONVENIOS </t>
  </si>
  <si>
    <t>Otros eventos de tipo social celebrados con o sin infraestructura de las Cajas de Compensación Famil</t>
  </si>
  <si>
    <t>ABRIL AÑO 2026</t>
  </si>
  <si>
    <t>JUEGOS INTEREMPRESARIALES AJEDREZ PARTICIPANTE</t>
  </si>
  <si>
    <t>JUEGOS INTEREMPRESARIALES BALONCESTO</t>
  </si>
  <si>
    <t>JUEGOS INTEREMPRESARIALES BOLOS MIXTO</t>
  </si>
  <si>
    <t>JUEGOS INTEREMPRESARIALES NATACION PARTICIPANTE</t>
  </si>
  <si>
    <t>JUEGOS INTEREMPRESARIALES VOLEIBOL</t>
  </si>
  <si>
    <t>ESCUELA PATINAJE QUINCHIA</t>
  </si>
  <si>
    <t>EMPRESAS</t>
  </si>
  <si>
    <t>ALIANZA A</t>
  </si>
  <si>
    <t>TOTAL PERSONAS</t>
  </si>
  <si>
    <t>TOTAL USOS</t>
  </si>
  <si>
    <t>MAYO AÑO 2026</t>
  </si>
  <si>
    <t>ESCUELA DE PADRES</t>
  </si>
  <si>
    <t>JUEGOS INTEREMPRESARIALES SAPO MIXTO</t>
  </si>
  <si>
    <t>JUEGOS INTEREMPRESARIALES VOLEIBOL 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</si>
</sst>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0">
    <font>
      <sz val="11.0"/>
      <color rgb="FF000000"/>
      <name val="Calibri"/>
      <scheme val="minor"/>
    </font>
    <font>
      <b/>
      <sz val="20.0"/>
      <color rgb="FF000000"/>
      <name val="Calibri"/>
    </font>
    <font/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b/>
      <sz val="16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FFA6A6"/>
        <bgColor rgb="FFFFA6A6"/>
      </patternFill>
    </fill>
  </fills>
  <borders count="18">
    <border/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164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1" fillId="0" fontId="5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2" fontId="4" numFmtId="0" xfId="0" applyAlignment="1" applyBorder="1" applyFont="1">
      <alignment horizontal="center" shrinkToFit="0" vertical="bottom" wrapText="0"/>
    </xf>
    <xf borderId="12" fillId="4" fontId="6" numFmtId="0" xfId="0" applyAlignment="1" applyBorder="1" applyFill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5" fillId="2" fontId="7" numFmtId="0" xfId="0" applyAlignment="1" applyBorder="1" applyFont="1">
      <alignment horizontal="center" shrinkToFit="0" vertical="center" wrapText="0"/>
    </xf>
    <xf borderId="12" fillId="2" fontId="4" numFmtId="0" xfId="0" applyAlignment="1" applyBorder="1" applyFont="1">
      <alignment horizontal="center" shrinkToFit="0" vertical="center" wrapText="0"/>
    </xf>
    <xf borderId="16" fillId="2" fontId="4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6" fillId="0" fontId="5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16" fillId="5" fontId="8" numFmtId="0" xfId="0" applyAlignment="1" applyBorder="1" applyFill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6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14"/>
    <col customWidth="1" min="2" max="2" width="12.86"/>
    <col customWidth="1" min="3" max="3" width="6.57"/>
    <col customWidth="1" min="4" max="4" width="12.29"/>
    <col customWidth="1" min="5" max="5" width="10.29"/>
    <col customWidth="1" min="6" max="6" width="11.0"/>
    <col customWidth="1" min="7" max="7" width="8.43"/>
    <col customWidth="1" min="8" max="8" width="6.86"/>
    <col customWidth="1" min="9" max="9" width="7.14"/>
    <col customWidth="1" min="10" max="10" width="8.0"/>
    <col customWidth="1" min="11" max="11" width="8.43"/>
    <col customWidth="1" min="12" max="12" width="12.43"/>
    <col customWidth="1" min="13" max="26" width="15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9.25" customHeight="1">
      <c r="A2" s="5" t="s">
        <v>1</v>
      </c>
      <c r="B2" s="6" t="s">
        <v>2</v>
      </c>
      <c r="C2" s="7"/>
      <c r="D2" s="8" t="s">
        <v>3</v>
      </c>
      <c r="E2" s="2"/>
      <c r="F2" s="2"/>
      <c r="G2" s="2"/>
      <c r="H2" s="3"/>
      <c r="I2" s="8" t="s">
        <v>4</v>
      </c>
      <c r="J2" s="2"/>
      <c r="K2" s="2"/>
      <c r="L2" s="3"/>
      <c r="M2" s="9"/>
    </row>
    <row r="3" ht="13.5" customHeight="1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ht="13.5" customHeight="1">
      <c r="A4" s="14">
        <v>3734.0</v>
      </c>
      <c r="B4" s="14">
        <f t="shared" ref="B4:M4" si="1">SUM(B5:B38)</f>
        <v>3461</v>
      </c>
      <c r="C4" s="14">
        <f t="shared" si="1"/>
        <v>3645</v>
      </c>
      <c r="D4" s="14">
        <f t="shared" si="1"/>
        <v>1955</v>
      </c>
      <c r="E4" s="14">
        <f t="shared" si="1"/>
        <v>967</v>
      </c>
      <c r="F4" s="14">
        <f t="shared" si="1"/>
        <v>213</v>
      </c>
      <c r="G4" s="14">
        <f t="shared" si="1"/>
        <v>326</v>
      </c>
      <c r="H4" s="14">
        <f t="shared" si="1"/>
        <v>0</v>
      </c>
      <c r="I4" s="14">
        <f t="shared" si="1"/>
        <v>2066</v>
      </c>
      <c r="J4" s="14">
        <f t="shared" si="1"/>
        <v>1017</v>
      </c>
      <c r="K4" s="14">
        <f t="shared" si="1"/>
        <v>224</v>
      </c>
      <c r="L4" s="14">
        <f t="shared" si="1"/>
        <v>338</v>
      </c>
      <c r="M4" s="14">
        <f t="shared" si="1"/>
        <v>0</v>
      </c>
      <c r="N4" s="15"/>
      <c r="O4" s="15"/>
      <c r="P4" s="15"/>
      <c r="Q4" s="15"/>
      <c r="R4" s="15"/>
      <c r="S4" s="15"/>
      <c r="T4" s="15"/>
    </row>
    <row r="5" ht="13.5" customHeight="1">
      <c r="A5" s="16" t="s">
        <v>13</v>
      </c>
      <c r="B5" s="16">
        <f t="shared" ref="B5:B55" si="2">SUM(D5:H5)</f>
        <v>7</v>
      </c>
      <c r="C5" s="16">
        <f t="shared" ref="C5:C55" si="3">SUM(I5:M5)</f>
        <v>7</v>
      </c>
      <c r="D5" s="16">
        <v>5.0</v>
      </c>
      <c r="E5" s="16">
        <v>2.0</v>
      </c>
      <c r="F5" s="16">
        <v>0.0</v>
      </c>
      <c r="G5" s="16">
        <v>0.0</v>
      </c>
      <c r="H5" s="16">
        <v>0.0</v>
      </c>
      <c r="I5" s="16">
        <v>5.0</v>
      </c>
      <c r="J5" s="16">
        <v>2.0</v>
      </c>
      <c r="K5" s="16">
        <v>0.0</v>
      </c>
      <c r="L5" s="16">
        <v>0.0</v>
      </c>
      <c r="M5" s="16">
        <v>0.0</v>
      </c>
    </row>
    <row r="6" ht="13.5" customHeight="1">
      <c r="A6" s="16" t="s">
        <v>14</v>
      </c>
      <c r="B6" s="16">
        <f t="shared" si="2"/>
        <v>101</v>
      </c>
      <c r="C6" s="16">
        <f t="shared" si="3"/>
        <v>101</v>
      </c>
      <c r="D6" s="16">
        <v>60.0</v>
      </c>
      <c r="E6" s="16">
        <v>34.0</v>
      </c>
      <c r="F6" s="16">
        <v>7.0</v>
      </c>
      <c r="G6" s="16">
        <v>0.0</v>
      </c>
      <c r="H6" s="16">
        <v>0.0</v>
      </c>
      <c r="I6" s="16">
        <v>60.0</v>
      </c>
      <c r="J6" s="16">
        <v>34.0</v>
      </c>
      <c r="K6" s="16">
        <v>7.0</v>
      </c>
      <c r="L6" s="16">
        <v>0.0</v>
      </c>
      <c r="M6" s="16">
        <v>0.0</v>
      </c>
    </row>
    <row r="7" ht="13.5" customHeight="1">
      <c r="A7" s="16" t="s">
        <v>15</v>
      </c>
      <c r="B7" s="16">
        <f t="shared" si="2"/>
        <v>114</v>
      </c>
      <c r="C7" s="16">
        <f t="shared" si="3"/>
        <v>114</v>
      </c>
      <c r="D7" s="16">
        <v>66.0</v>
      </c>
      <c r="E7" s="16">
        <v>26.0</v>
      </c>
      <c r="F7" s="16">
        <v>10.0</v>
      </c>
      <c r="G7" s="16">
        <v>12.0</v>
      </c>
      <c r="H7" s="16">
        <v>0.0</v>
      </c>
      <c r="I7" s="16">
        <v>66.0</v>
      </c>
      <c r="J7" s="16">
        <v>26.0</v>
      </c>
      <c r="K7" s="16">
        <v>10.0</v>
      </c>
      <c r="L7" s="16">
        <v>12.0</v>
      </c>
      <c r="M7" s="16">
        <v>0.0</v>
      </c>
    </row>
    <row r="8" ht="13.5" customHeight="1">
      <c r="A8" s="16" t="s">
        <v>16</v>
      </c>
      <c r="B8" s="16">
        <f t="shared" si="2"/>
        <v>18</v>
      </c>
      <c r="C8" s="16">
        <f t="shared" si="3"/>
        <v>21</v>
      </c>
      <c r="D8" s="16">
        <v>10.0</v>
      </c>
      <c r="E8" s="16">
        <v>7.0</v>
      </c>
      <c r="F8" s="16">
        <v>1.0</v>
      </c>
      <c r="G8" s="16">
        <v>0.0</v>
      </c>
      <c r="H8" s="16">
        <v>0.0</v>
      </c>
      <c r="I8" s="16">
        <v>13.0</v>
      </c>
      <c r="J8" s="16">
        <v>7.0</v>
      </c>
      <c r="K8" s="16">
        <v>1.0</v>
      </c>
      <c r="L8" s="16">
        <v>0.0</v>
      </c>
      <c r="M8" s="16">
        <v>0.0</v>
      </c>
    </row>
    <row r="9" ht="13.5" customHeight="1">
      <c r="A9" s="16" t="s">
        <v>17</v>
      </c>
      <c r="B9" s="16">
        <f t="shared" si="2"/>
        <v>103</v>
      </c>
      <c r="C9" s="16">
        <f t="shared" si="3"/>
        <v>106</v>
      </c>
      <c r="D9" s="16">
        <v>51.0</v>
      </c>
      <c r="E9" s="16">
        <v>34.0</v>
      </c>
      <c r="F9" s="16">
        <v>9.0</v>
      </c>
      <c r="G9" s="16">
        <v>9.0</v>
      </c>
      <c r="H9" s="16">
        <v>0.0</v>
      </c>
      <c r="I9" s="16">
        <v>53.0</v>
      </c>
      <c r="J9" s="16">
        <v>34.0</v>
      </c>
      <c r="K9" s="16">
        <v>9.0</v>
      </c>
      <c r="L9" s="16">
        <v>10.0</v>
      </c>
      <c r="M9" s="16">
        <v>0.0</v>
      </c>
    </row>
    <row r="10" ht="13.5" customHeight="1">
      <c r="A10" s="16" t="s">
        <v>18</v>
      </c>
      <c r="B10" s="16">
        <f t="shared" si="2"/>
        <v>56</v>
      </c>
      <c r="C10" s="16">
        <f t="shared" si="3"/>
        <v>63</v>
      </c>
      <c r="D10" s="16">
        <v>20.0</v>
      </c>
      <c r="E10" s="16">
        <v>19.0</v>
      </c>
      <c r="F10" s="16">
        <v>15.0</v>
      </c>
      <c r="G10" s="16">
        <v>2.0</v>
      </c>
      <c r="H10" s="16">
        <v>0.0</v>
      </c>
      <c r="I10" s="16">
        <v>24.0</v>
      </c>
      <c r="J10" s="16">
        <v>20.0</v>
      </c>
      <c r="K10" s="16">
        <v>17.0</v>
      </c>
      <c r="L10" s="16">
        <v>2.0</v>
      </c>
      <c r="M10" s="16">
        <v>0.0</v>
      </c>
    </row>
    <row r="11" ht="13.5" customHeight="1">
      <c r="A11" s="16" t="s">
        <v>19</v>
      </c>
      <c r="B11" s="16">
        <f t="shared" si="2"/>
        <v>469</v>
      </c>
      <c r="C11" s="16">
        <f t="shared" si="3"/>
        <v>525</v>
      </c>
      <c r="D11" s="16">
        <v>284.0</v>
      </c>
      <c r="E11" s="16">
        <v>108.0</v>
      </c>
      <c r="F11" s="16">
        <v>17.0</v>
      </c>
      <c r="G11" s="16">
        <v>60.0</v>
      </c>
      <c r="H11" s="16">
        <v>0.0</v>
      </c>
      <c r="I11" s="16">
        <v>322.0</v>
      </c>
      <c r="J11" s="16">
        <v>121.0</v>
      </c>
      <c r="K11" s="16">
        <v>19.0</v>
      </c>
      <c r="L11" s="16">
        <v>63.0</v>
      </c>
      <c r="M11" s="16">
        <v>0.0</v>
      </c>
    </row>
    <row r="12" ht="13.5" customHeight="1">
      <c r="A12" s="16" t="s">
        <v>20</v>
      </c>
      <c r="B12" s="16">
        <f t="shared" si="2"/>
        <v>24</v>
      </c>
      <c r="C12" s="16">
        <f t="shared" si="3"/>
        <v>24</v>
      </c>
      <c r="D12" s="16">
        <v>16.0</v>
      </c>
      <c r="E12" s="16">
        <v>5.0</v>
      </c>
      <c r="F12" s="16">
        <v>1.0</v>
      </c>
      <c r="G12" s="16">
        <v>2.0</v>
      </c>
      <c r="H12" s="16">
        <v>0.0</v>
      </c>
      <c r="I12" s="16">
        <v>16.0</v>
      </c>
      <c r="J12" s="16">
        <v>5.0</v>
      </c>
      <c r="K12" s="16">
        <v>1.0</v>
      </c>
      <c r="L12" s="16">
        <v>2.0</v>
      </c>
      <c r="M12" s="16">
        <v>0.0</v>
      </c>
    </row>
    <row r="13" ht="13.5" customHeight="1">
      <c r="A13" s="16" t="s">
        <v>21</v>
      </c>
      <c r="B13" s="16">
        <f t="shared" si="2"/>
        <v>302</v>
      </c>
      <c r="C13" s="16">
        <f t="shared" si="3"/>
        <v>310</v>
      </c>
      <c r="D13" s="16">
        <v>192.0</v>
      </c>
      <c r="E13" s="16">
        <v>77.0</v>
      </c>
      <c r="F13" s="16">
        <v>10.0</v>
      </c>
      <c r="G13" s="16">
        <v>23.0</v>
      </c>
      <c r="H13" s="16">
        <v>0.0</v>
      </c>
      <c r="I13" s="16">
        <v>198.0</v>
      </c>
      <c r="J13" s="16">
        <v>79.0</v>
      </c>
      <c r="K13" s="16">
        <v>10.0</v>
      </c>
      <c r="L13" s="16">
        <v>23.0</v>
      </c>
      <c r="M13" s="16">
        <v>0.0</v>
      </c>
    </row>
    <row r="14" ht="13.5" customHeight="1">
      <c r="A14" s="16" t="s">
        <v>22</v>
      </c>
      <c r="B14" s="16">
        <f t="shared" si="2"/>
        <v>113</v>
      </c>
      <c r="C14" s="16">
        <f t="shared" si="3"/>
        <v>118</v>
      </c>
      <c r="D14" s="16">
        <v>67.0</v>
      </c>
      <c r="E14" s="16">
        <v>28.0</v>
      </c>
      <c r="F14" s="16">
        <v>8.0</v>
      </c>
      <c r="G14" s="16">
        <v>10.0</v>
      </c>
      <c r="H14" s="16">
        <v>0.0</v>
      </c>
      <c r="I14" s="16">
        <v>71.0</v>
      </c>
      <c r="J14" s="16">
        <v>29.0</v>
      </c>
      <c r="K14" s="16">
        <v>8.0</v>
      </c>
      <c r="L14" s="16">
        <v>10.0</v>
      </c>
      <c r="M14" s="16">
        <v>0.0</v>
      </c>
    </row>
    <row r="15" ht="13.5" customHeight="1">
      <c r="A15" s="16" t="s">
        <v>23</v>
      </c>
      <c r="B15" s="16">
        <f t="shared" si="2"/>
        <v>64</v>
      </c>
      <c r="C15" s="16">
        <f t="shared" si="3"/>
        <v>68</v>
      </c>
      <c r="D15" s="16">
        <v>30.0</v>
      </c>
      <c r="E15" s="16">
        <v>20.0</v>
      </c>
      <c r="F15" s="16">
        <v>5.0</v>
      </c>
      <c r="G15" s="16">
        <v>9.0</v>
      </c>
      <c r="H15" s="16">
        <v>0.0</v>
      </c>
      <c r="I15" s="16">
        <v>31.0</v>
      </c>
      <c r="J15" s="16">
        <v>23.0</v>
      </c>
      <c r="K15" s="16">
        <v>5.0</v>
      </c>
      <c r="L15" s="16">
        <v>9.0</v>
      </c>
      <c r="M15" s="16">
        <v>0.0</v>
      </c>
    </row>
    <row r="16" ht="13.5" customHeight="1">
      <c r="A16" s="16" t="s">
        <v>24</v>
      </c>
      <c r="B16" s="16">
        <f t="shared" si="2"/>
        <v>39</v>
      </c>
      <c r="C16" s="16">
        <f t="shared" si="3"/>
        <v>45</v>
      </c>
      <c r="D16" s="16">
        <v>22.0</v>
      </c>
      <c r="E16" s="16">
        <v>11.0</v>
      </c>
      <c r="F16" s="16">
        <v>4.0</v>
      </c>
      <c r="G16" s="16">
        <v>2.0</v>
      </c>
      <c r="H16" s="16">
        <v>0.0</v>
      </c>
      <c r="I16" s="16">
        <v>25.0</v>
      </c>
      <c r="J16" s="16">
        <v>14.0</v>
      </c>
      <c r="K16" s="16">
        <v>4.0</v>
      </c>
      <c r="L16" s="16">
        <v>2.0</v>
      </c>
      <c r="M16" s="16">
        <v>0.0</v>
      </c>
    </row>
    <row r="17" ht="13.5" customHeight="1">
      <c r="A17" s="16" t="s">
        <v>25</v>
      </c>
      <c r="B17" s="16">
        <f t="shared" si="2"/>
        <v>156</v>
      </c>
      <c r="C17" s="16">
        <f t="shared" si="3"/>
        <v>157</v>
      </c>
      <c r="D17" s="16">
        <v>91.0</v>
      </c>
      <c r="E17" s="16">
        <v>35.0</v>
      </c>
      <c r="F17" s="16">
        <v>7.0</v>
      </c>
      <c r="G17" s="16">
        <v>23.0</v>
      </c>
      <c r="H17" s="16">
        <v>0.0</v>
      </c>
      <c r="I17" s="16">
        <v>92.0</v>
      </c>
      <c r="J17" s="16">
        <v>35.0</v>
      </c>
      <c r="K17" s="16">
        <v>7.0</v>
      </c>
      <c r="L17" s="16">
        <v>23.0</v>
      </c>
      <c r="M17" s="16">
        <v>0.0</v>
      </c>
    </row>
    <row r="18" ht="13.5" customHeight="1">
      <c r="A18" s="16" t="s">
        <v>26</v>
      </c>
      <c r="B18" s="16">
        <f t="shared" si="2"/>
        <v>74</v>
      </c>
      <c r="C18" s="16">
        <f t="shared" si="3"/>
        <v>77</v>
      </c>
      <c r="D18" s="16">
        <v>29.0</v>
      </c>
      <c r="E18" s="16">
        <v>33.0</v>
      </c>
      <c r="F18" s="16">
        <v>3.0</v>
      </c>
      <c r="G18" s="16">
        <v>9.0</v>
      </c>
      <c r="H18" s="16">
        <v>0.0</v>
      </c>
      <c r="I18" s="16">
        <v>31.0</v>
      </c>
      <c r="J18" s="16">
        <v>34.0</v>
      </c>
      <c r="K18" s="16">
        <v>3.0</v>
      </c>
      <c r="L18" s="16">
        <v>9.0</v>
      </c>
      <c r="M18" s="16">
        <v>0.0</v>
      </c>
    </row>
    <row r="19" ht="13.5" customHeight="1">
      <c r="A19" s="16" t="s">
        <v>27</v>
      </c>
      <c r="B19" s="16">
        <f t="shared" si="2"/>
        <v>95</v>
      </c>
      <c r="C19" s="16">
        <f t="shared" si="3"/>
        <v>129</v>
      </c>
      <c r="D19" s="16">
        <v>55.0</v>
      </c>
      <c r="E19" s="16">
        <v>22.0</v>
      </c>
      <c r="F19" s="16">
        <v>6.0</v>
      </c>
      <c r="G19" s="16">
        <v>12.0</v>
      </c>
      <c r="H19" s="16">
        <v>0.0</v>
      </c>
      <c r="I19" s="16">
        <v>73.0</v>
      </c>
      <c r="J19" s="16">
        <v>33.0</v>
      </c>
      <c r="K19" s="16">
        <v>10.0</v>
      </c>
      <c r="L19" s="16">
        <v>13.0</v>
      </c>
      <c r="M19" s="16">
        <v>0.0</v>
      </c>
    </row>
    <row r="20" ht="13.5" customHeight="1">
      <c r="A20" s="16" t="s">
        <v>28</v>
      </c>
      <c r="B20" s="16">
        <f t="shared" si="2"/>
        <v>45</v>
      </c>
      <c r="C20" s="16">
        <f t="shared" si="3"/>
        <v>47</v>
      </c>
      <c r="D20" s="16">
        <v>35.0</v>
      </c>
      <c r="E20" s="16">
        <v>8.0</v>
      </c>
      <c r="F20" s="16">
        <v>0.0</v>
      </c>
      <c r="G20" s="16">
        <v>2.0</v>
      </c>
      <c r="H20" s="16">
        <v>0.0</v>
      </c>
      <c r="I20" s="16">
        <v>36.0</v>
      </c>
      <c r="J20" s="16">
        <v>9.0</v>
      </c>
      <c r="K20" s="16">
        <v>0.0</v>
      </c>
      <c r="L20" s="16">
        <v>2.0</v>
      </c>
      <c r="M20" s="16">
        <v>0.0</v>
      </c>
    </row>
    <row r="21" ht="13.5" customHeight="1">
      <c r="A21" s="16" t="s">
        <v>29</v>
      </c>
      <c r="B21" s="16">
        <f t="shared" si="2"/>
        <v>40</v>
      </c>
      <c r="C21" s="16">
        <f t="shared" si="3"/>
        <v>41</v>
      </c>
      <c r="D21" s="16">
        <v>26.0</v>
      </c>
      <c r="E21" s="16">
        <v>13.0</v>
      </c>
      <c r="F21" s="16">
        <v>1.0</v>
      </c>
      <c r="G21" s="16">
        <v>0.0</v>
      </c>
      <c r="H21" s="16">
        <v>0.0</v>
      </c>
      <c r="I21" s="16">
        <v>26.0</v>
      </c>
      <c r="J21" s="16">
        <v>14.0</v>
      </c>
      <c r="K21" s="16">
        <v>1.0</v>
      </c>
      <c r="L21" s="16">
        <v>0.0</v>
      </c>
      <c r="M21" s="16">
        <v>0.0</v>
      </c>
    </row>
    <row r="22" ht="13.5" customHeight="1">
      <c r="A22" s="16" t="s">
        <v>30</v>
      </c>
      <c r="B22" s="16">
        <f t="shared" si="2"/>
        <v>27</v>
      </c>
      <c r="C22" s="16">
        <f t="shared" si="3"/>
        <v>27</v>
      </c>
      <c r="D22" s="16">
        <v>9.0</v>
      </c>
      <c r="E22" s="16">
        <v>10.0</v>
      </c>
      <c r="F22" s="16">
        <v>6.0</v>
      </c>
      <c r="G22" s="16">
        <v>2.0</v>
      </c>
      <c r="H22" s="16">
        <v>0.0</v>
      </c>
      <c r="I22" s="16">
        <v>9.0</v>
      </c>
      <c r="J22" s="16">
        <v>10.0</v>
      </c>
      <c r="K22" s="16">
        <v>6.0</v>
      </c>
      <c r="L22" s="16">
        <v>2.0</v>
      </c>
      <c r="M22" s="16">
        <v>0.0</v>
      </c>
    </row>
    <row r="23" ht="13.5" customHeight="1">
      <c r="A23" s="16" t="s">
        <v>31</v>
      </c>
      <c r="B23" s="16">
        <f t="shared" si="2"/>
        <v>12</v>
      </c>
      <c r="C23" s="16">
        <f t="shared" si="3"/>
        <v>12</v>
      </c>
      <c r="D23" s="16">
        <v>8.0</v>
      </c>
      <c r="E23" s="16">
        <v>1.0</v>
      </c>
      <c r="F23" s="16">
        <v>2.0</v>
      </c>
      <c r="G23" s="16">
        <v>1.0</v>
      </c>
      <c r="H23" s="16">
        <v>0.0</v>
      </c>
      <c r="I23" s="16">
        <v>8.0</v>
      </c>
      <c r="J23" s="16">
        <v>1.0</v>
      </c>
      <c r="K23" s="16">
        <v>2.0</v>
      </c>
      <c r="L23" s="16">
        <v>1.0</v>
      </c>
      <c r="M23" s="16">
        <v>0.0</v>
      </c>
    </row>
    <row r="24" ht="13.5" customHeight="1">
      <c r="A24" s="16" t="s">
        <v>32</v>
      </c>
      <c r="B24" s="16">
        <f t="shared" si="2"/>
        <v>52</v>
      </c>
      <c r="C24" s="16">
        <f t="shared" si="3"/>
        <v>54</v>
      </c>
      <c r="D24" s="16">
        <v>27.0</v>
      </c>
      <c r="E24" s="16">
        <v>11.0</v>
      </c>
      <c r="F24" s="16">
        <v>5.0</v>
      </c>
      <c r="G24" s="16">
        <v>9.0</v>
      </c>
      <c r="H24" s="16">
        <v>0.0</v>
      </c>
      <c r="I24" s="16">
        <v>28.0</v>
      </c>
      <c r="J24" s="16">
        <v>11.0</v>
      </c>
      <c r="K24" s="16">
        <v>6.0</v>
      </c>
      <c r="L24" s="16">
        <v>9.0</v>
      </c>
      <c r="M24" s="16">
        <v>0.0</v>
      </c>
    </row>
    <row r="25" ht="13.5" customHeight="1">
      <c r="A25" s="16" t="s">
        <v>33</v>
      </c>
      <c r="B25" s="16">
        <f t="shared" si="2"/>
        <v>596</v>
      </c>
      <c r="C25" s="16">
        <f t="shared" si="3"/>
        <v>600</v>
      </c>
      <c r="D25" s="16">
        <v>372.0</v>
      </c>
      <c r="E25" s="16">
        <v>141.0</v>
      </c>
      <c r="F25" s="16">
        <v>36.0</v>
      </c>
      <c r="G25" s="16">
        <v>47.0</v>
      </c>
      <c r="H25" s="16">
        <v>0.0</v>
      </c>
      <c r="I25" s="16">
        <v>376.0</v>
      </c>
      <c r="J25" s="16">
        <v>141.0</v>
      </c>
      <c r="K25" s="16">
        <v>36.0</v>
      </c>
      <c r="L25" s="16">
        <v>47.0</v>
      </c>
      <c r="M25" s="16">
        <v>0.0</v>
      </c>
    </row>
    <row r="26" ht="13.5" customHeight="1">
      <c r="A26" s="16" t="s">
        <v>34</v>
      </c>
      <c r="B26" s="16">
        <f t="shared" si="2"/>
        <v>1</v>
      </c>
      <c r="C26" s="16">
        <f t="shared" si="3"/>
        <v>1</v>
      </c>
      <c r="D26" s="16">
        <v>0.0</v>
      </c>
      <c r="E26" s="16">
        <v>1.0</v>
      </c>
      <c r="F26" s="16">
        <v>0.0</v>
      </c>
      <c r="G26" s="16">
        <v>0.0</v>
      </c>
      <c r="H26" s="16">
        <v>0.0</v>
      </c>
      <c r="I26" s="16">
        <v>0.0</v>
      </c>
      <c r="J26" s="16">
        <v>1.0</v>
      </c>
      <c r="K26" s="16">
        <v>0.0</v>
      </c>
      <c r="L26" s="16">
        <v>0.0</v>
      </c>
      <c r="M26" s="16">
        <v>0.0</v>
      </c>
    </row>
    <row r="27" ht="13.5" customHeight="1">
      <c r="A27" s="16" t="s">
        <v>35</v>
      </c>
      <c r="B27" s="16">
        <f t="shared" si="2"/>
        <v>289</v>
      </c>
      <c r="C27" s="16">
        <f t="shared" si="3"/>
        <v>294</v>
      </c>
      <c r="D27" s="16">
        <v>113.0</v>
      </c>
      <c r="E27" s="16">
        <v>108.0</v>
      </c>
      <c r="F27" s="16">
        <v>15.0</v>
      </c>
      <c r="G27" s="16">
        <v>53.0</v>
      </c>
      <c r="H27" s="16">
        <v>0.0</v>
      </c>
      <c r="I27" s="16">
        <v>116.0</v>
      </c>
      <c r="J27" s="16">
        <v>109.0</v>
      </c>
      <c r="K27" s="16">
        <v>15.0</v>
      </c>
      <c r="L27" s="16">
        <v>54.0</v>
      </c>
      <c r="M27" s="16">
        <v>0.0</v>
      </c>
    </row>
    <row r="28" ht="13.5" customHeight="1">
      <c r="A28" s="16" t="s">
        <v>36</v>
      </c>
      <c r="B28" s="16">
        <f t="shared" si="2"/>
        <v>27</v>
      </c>
      <c r="C28" s="16">
        <f t="shared" si="3"/>
        <v>28</v>
      </c>
      <c r="D28" s="16">
        <v>11.0</v>
      </c>
      <c r="E28" s="16">
        <v>7.0</v>
      </c>
      <c r="F28" s="16">
        <v>3.0</v>
      </c>
      <c r="G28" s="16">
        <v>6.0</v>
      </c>
      <c r="H28" s="16">
        <v>0.0</v>
      </c>
      <c r="I28" s="16">
        <v>12.0</v>
      </c>
      <c r="J28" s="16">
        <v>7.0</v>
      </c>
      <c r="K28" s="16">
        <v>3.0</v>
      </c>
      <c r="L28" s="16">
        <v>6.0</v>
      </c>
      <c r="M28" s="16">
        <v>0.0</v>
      </c>
    </row>
    <row r="29" ht="13.5" customHeight="1">
      <c r="A29" s="16" t="s">
        <v>37</v>
      </c>
      <c r="B29" s="16">
        <f t="shared" si="2"/>
        <v>138</v>
      </c>
      <c r="C29" s="16">
        <f t="shared" si="3"/>
        <v>141</v>
      </c>
      <c r="D29" s="16">
        <v>68.0</v>
      </c>
      <c r="E29" s="16">
        <v>49.0</v>
      </c>
      <c r="F29" s="16">
        <v>8.0</v>
      </c>
      <c r="G29" s="16">
        <v>13.0</v>
      </c>
      <c r="H29" s="16">
        <v>0.0</v>
      </c>
      <c r="I29" s="16">
        <v>69.0</v>
      </c>
      <c r="J29" s="16">
        <v>50.0</v>
      </c>
      <c r="K29" s="16">
        <v>8.0</v>
      </c>
      <c r="L29" s="16">
        <v>14.0</v>
      </c>
      <c r="M29" s="16">
        <v>0.0</v>
      </c>
    </row>
    <row r="30" ht="13.5" customHeight="1">
      <c r="A30" s="16" t="s">
        <v>38</v>
      </c>
      <c r="B30" s="16">
        <f t="shared" si="2"/>
        <v>30</v>
      </c>
      <c r="C30" s="16">
        <f t="shared" si="3"/>
        <v>52</v>
      </c>
      <c r="D30" s="16">
        <v>17.0</v>
      </c>
      <c r="E30" s="16">
        <v>11.0</v>
      </c>
      <c r="F30" s="16">
        <v>0.0</v>
      </c>
      <c r="G30" s="16">
        <v>2.0</v>
      </c>
      <c r="H30" s="16">
        <v>0.0</v>
      </c>
      <c r="I30" s="16">
        <v>30.0</v>
      </c>
      <c r="J30" s="16">
        <v>15.0</v>
      </c>
      <c r="K30" s="16">
        <v>0.0</v>
      </c>
      <c r="L30" s="16">
        <v>7.0</v>
      </c>
      <c r="M30" s="16">
        <v>0.0</v>
      </c>
    </row>
    <row r="31" ht="13.5" customHeight="1">
      <c r="A31" s="16" t="s">
        <v>39</v>
      </c>
      <c r="B31" s="16">
        <f t="shared" si="2"/>
        <v>99</v>
      </c>
      <c r="C31" s="16">
        <f t="shared" si="3"/>
        <v>99</v>
      </c>
      <c r="D31" s="16">
        <v>57.0</v>
      </c>
      <c r="E31" s="16">
        <v>38.0</v>
      </c>
      <c r="F31" s="16">
        <v>4.0</v>
      </c>
      <c r="G31" s="16">
        <v>0.0</v>
      </c>
      <c r="H31" s="16">
        <v>0.0</v>
      </c>
      <c r="I31" s="16">
        <v>57.0</v>
      </c>
      <c r="J31" s="16">
        <v>38.0</v>
      </c>
      <c r="K31" s="16">
        <v>4.0</v>
      </c>
      <c r="L31" s="16">
        <v>0.0</v>
      </c>
      <c r="M31" s="16">
        <v>0.0</v>
      </c>
    </row>
    <row r="32" ht="13.5" customHeight="1">
      <c r="A32" s="16" t="s">
        <v>40</v>
      </c>
      <c r="B32" s="16">
        <f t="shared" si="2"/>
        <v>99</v>
      </c>
      <c r="C32" s="16">
        <f t="shared" si="3"/>
        <v>99</v>
      </c>
      <c r="D32" s="16">
        <v>79.0</v>
      </c>
      <c r="E32" s="16">
        <v>18.0</v>
      </c>
      <c r="F32" s="16">
        <v>2.0</v>
      </c>
      <c r="G32" s="16">
        <v>0.0</v>
      </c>
      <c r="H32" s="16">
        <v>0.0</v>
      </c>
      <c r="I32" s="16">
        <v>79.0</v>
      </c>
      <c r="J32" s="16">
        <v>18.0</v>
      </c>
      <c r="K32" s="16">
        <v>2.0</v>
      </c>
      <c r="L32" s="16">
        <v>0.0</v>
      </c>
      <c r="M32" s="16">
        <v>0.0</v>
      </c>
    </row>
    <row r="33" ht="13.5" customHeight="1">
      <c r="A33" s="16" t="s">
        <v>41</v>
      </c>
      <c r="B33" s="16">
        <f t="shared" si="2"/>
        <v>99</v>
      </c>
      <c r="C33" s="16">
        <f t="shared" si="3"/>
        <v>99</v>
      </c>
      <c r="D33" s="16">
        <v>60.0</v>
      </c>
      <c r="E33" s="16">
        <v>34.0</v>
      </c>
      <c r="F33" s="16">
        <v>5.0</v>
      </c>
      <c r="G33" s="16">
        <v>0.0</v>
      </c>
      <c r="H33" s="16">
        <v>0.0</v>
      </c>
      <c r="I33" s="16">
        <v>60.0</v>
      </c>
      <c r="J33" s="16">
        <v>34.0</v>
      </c>
      <c r="K33" s="16">
        <v>5.0</v>
      </c>
      <c r="L33" s="16">
        <v>0.0</v>
      </c>
      <c r="M33" s="16">
        <v>0.0</v>
      </c>
    </row>
    <row r="34" ht="13.5" customHeight="1">
      <c r="A34" s="16" t="s">
        <v>42</v>
      </c>
      <c r="B34" s="16">
        <f t="shared" si="2"/>
        <v>30</v>
      </c>
      <c r="C34" s="16">
        <f t="shared" si="3"/>
        <v>30</v>
      </c>
      <c r="D34" s="16">
        <v>23.0</v>
      </c>
      <c r="E34" s="16">
        <v>4.0</v>
      </c>
      <c r="F34" s="16">
        <v>0.0</v>
      </c>
      <c r="G34" s="16">
        <v>3.0</v>
      </c>
      <c r="H34" s="16">
        <v>0.0</v>
      </c>
      <c r="I34" s="16">
        <v>23.0</v>
      </c>
      <c r="J34" s="16">
        <v>4.0</v>
      </c>
      <c r="K34" s="16">
        <v>0.0</v>
      </c>
      <c r="L34" s="16">
        <v>3.0</v>
      </c>
      <c r="M34" s="16">
        <v>0.0</v>
      </c>
    </row>
    <row r="35" ht="13.5" customHeight="1">
      <c r="A35" s="16" t="s">
        <v>43</v>
      </c>
      <c r="B35" s="16">
        <f t="shared" si="2"/>
        <v>88</v>
      </c>
      <c r="C35" s="16">
        <f t="shared" si="3"/>
        <v>100</v>
      </c>
      <c r="D35" s="16">
        <v>22.0</v>
      </c>
      <c r="E35" s="16">
        <v>37.0</v>
      </c>
      <c r="F35" s="16">
        <v>20.0</v>
      </c>
      <c r="G35" s="16">
        <v>9.0</v>
      </c>
      <c r="H35" s="16">
        <v>0.0</v>
      </c>
      <c r="I35" s="16">
        <v>26.0</v>
      </c>
      <c r="J35" s="16">
        <v>43.0</v>
      </c>
      <c r="K35" s="16">
        <v>22.0</v>
      </c>
      <c r="L35" s="16">
        <v>9.0</v>
      </c>
      <c r="M35" s="16">
        <v>0.0</v>
      </c>
    </row>
    <row r="36" ht="13.5" customHeight="1">
      <c r="A36" s="16" t="s">
        <v>44</v>
      </c>
      <c r="B36" s="16">
        <f t="shared" si="2"/>
        <v>4</v>
      </c>
      <c r="C36" s="16">
        <f t="shared" si="3"/>
        <v>4</v>
      </c>
      <c r="D36" s="16">
        <v>2.0</v>
      </c>
      <c r="E36" s="16">
        <v>2.0</v>
      </c>
      <c r="F36" s="16">
        <v>0.0</v>
      </c>
      <c r="G36" s="16">
        <v>0.0</v>
      </c>
      <c r="H36" s="16">
        <v>0.0</v>
      </c>
      <c r="I36" s="16">
        <v>2.0</v>
      </c>
      <c r="J36" s="16">
        <v>2.0</v>
      </c>
      <c r="K36" s="16">
        <v>0.0</v>
      </c>
      <c r="L36" s="16">
        <v>0.0</v>
      </c>
      <c r="M36" s="16">
        <v>0.0</v>
      </c>
    </row>
    <row r="37" ht="13.5" customHeight="1">
      <c r="A37" s="16" t="s">
        <v>45</v>
      </c>
      <c r="B37" s="16">
        <f t="shared" si="2"/>
        <v>14</v>
      </c>
      <c r="C37" s="16">
        <f t="shared" si="3"/>
        <v>14</v>
      </c>
      <c r="D37" s="16">
        <v>6.0</v>
      </c>
      <c r="E37" s="16">
        <v>4.0</v>
      </c>
      <c r="F37" s="16">
        <v>2.0</v>
      </c>
      <c r="G37" s="16">
        <v>2.0</v>
      </c>
      <c r="H37" s="16">
        <v>0.0</v>
      </c>
      <c r="I37" s="16">
        <v>6.0</v>
      </c>
      <c r="J37" s="16">
        <v>4.0</v>
      </c>
      <c r="K37" s="16">
        <v>2.0</v>
      </c>
      <c r="L37" s="16">
        <v>2.0</v>
      </c>
      <c r="M37" s="16">
        <v>0.0</v>
      </c>
    </row>
    <row r="38" ht="13.5" customHeight="1">
      <c r="A38" s="16" t="s">
        <v>46</v>
      </c>
      <c r="B38" s="16">
        <f t="shared" si="2"/>
        <v>36</v>
      </c>
      <c r="C38" s="16">
        <f t="shared" si="3"/>
        <v>38</v>
      </c>
      <c r="D38" s="16">
        <v>22.0</v>
      </c>
      <c r="E38" s="16">
        <v>9.0</v>
      </c>
      <c r="F38" s="16">
        <v>1.0</v>
      </c>
      <c r="G38" s="16">
        <v>4.0</v>
      </c>
      <c r="H38" s="16">
        <v>0.0</v>
      </c>
      <c r="I38" s="16">
        <v>23.0</v>
      </c>
      <c r="J38" s="16">
        <v>10.0</v>
      </c>
      <c r="K38" s="16">
        <v>1.0</v>
      </c>
      <c r="L38" s="16">
        <v>4.0</v>
      </c>
      <c r="M38" s="16">
        <v>0.0</v>
      </c>
    </row>
    <row r="39" ht="13.5" customHeight="1">
      <c r="A39" s="17">
        <v>3753.0</v>
      </c>
      <c r="B39" s="18">
        <f t="shared" si="2"/>
        <v>1237</v>
      </c>
      <c r="C39" s="18">
        <f t="shared" si="3"/>
        <v>1265</v>
      </c>
      <c r="D39" s="18">
        <f t="shared" ref="D39:M39" si="4">SUM(D40:D47)</f>
        <v>695</v>
      </c>
      <c r="E39" s="18">
        <f t="shared" si="4"/>
        <v>366</v>
      </c>
      <c r="F39" s="18">
        <f t="shared" si="4"/>
        <v>74</v>
      </c>
      <c r="G39" s="18">
        <f t="shared" si="4"/>
        <v>102</v>
      </c>
      <c r="H39" s="18">
        <f t="shared" si="4"/>
        <v>0</v>
      </c>
      <c r="I39" s="18">
        <f t="shared" si="4"/>
        <v>718</v>
      </c>
      <c r="J39" s="18">
        <f t="shared" si="4"/>
        <v>369</v>
      </c>
      <c r="K39" s="18">
        <f t="shared" si="4"/>
        <v>75</v>
      </c>
      <c r="L39" s="18">
        <f t="shared" si="4"/>
        <v>103</v>
      </c>
      <c r="M39" s="18">
        <f t="shared" si="4"/>
        <v>0</v>
      </c>
    </row>
    <row r="40" ht="13.5" customHeight="1">
      <c r="A40" s="16" t="s">
        <v>47</v>
      </c>
      <c r="B40" s="19">
        <f t="shared" si="2"/>
        <v>84</v>
      </c>
      <c r="C40" s="19">
        <f t="shared" si="3"/>
        <v>93</v>
      </c>
      <c r="D40" s="16">
        <v>50.0</v>
      </c>
      <c r="E40" s="16">
        <v>23.0</v>
      </c>
      <c r="F40" s="16">
        <v>5.0</v>
      </c>
      <c r="G40" s="16">
        <v>6.0</v>
      </c>
      <c r="H40" s="16">
        <v>0.0</v>
      </c>
      <c r="I40" s="16">
        <v>59.0</v>
      </c>
      <c r="J40" s="16">
        <v>23.0</v>
      </c>
      <c r="K40" s="16">
        <v>5.0</v>
      </c>
      <c r="L40" s="16">
        <v>6.0</v>
      </c>
      <c r="M40" s="16">
        <v>0.0</v>
      </c>
      <c r="N40" s="15"/>
      <c r="O40" s="15"/>
      <c r="P40" s="15"/>
      <c r="Q40" s="15"/>
      <c r="R40" s="15"/>
      <c r="S40" s="15"/>
      <c r="T40" s="15"/>
    </row>
    <row r="41" ht="13.5" customHeight="1">
      <c r="A41" s="16" t="s">
        <v>48</v>
      </c>
      <c r="B41" s="19">
        <f t="shared" si="2"/>
        <v>99</v>
      </c>
      <c r="C41" s="19">
        <f t="shared" si="3"/>
        <v>99</v>
      </c>
      <c r="D41" s="16">
        <v>64.0</v>
      </c>
      <c r="E41" s="16">
        <v>34.0</v>
      </c>
      <c r="F41" s="16">
        <v>1.0</v>
      </c>
      <c r="G41" s="16">
        <v>0.0</v>
      </c>
      <c r="H41" s="16">
        <v>0.0</v>
      </c>
      <c r="I41" s="16">
        <v>64.0</v>
      </c>
      <c r="J41" s="16">
        <v>34.0</v>
      </c>
      <c r="K41" s="16">
        <v>1.0</v>
      </c>
      <c r="L41" s="16">
        <v>0.0</v>
      </c>
      <c r="M41" s="16">
        <v>0.0</v>
      </c>
    </row>
    <row r="42" ht="13.5" customHeight="1">
      <c r="A42" s="16" t="s">
        <v>49</v>
      </c>
      <c r="B42" s="19">
        <f t="shared" si="2"/>
        <v>50</v>
      </c>
      <c r="C42" s="19">
        <f t="shared" si="3"/>
        <v>51</v>
      </c>
      <c r="D42" s="16">
        <v>25.0</v>
      </c>
      <c r="E42" s="16">
        <v>16.0</v>
      </c>
      <c r="F42" s="16">
        <v>7.0</v>
      </c>
      <c r="G42" s="16">
        <v>2.0</v>
      </c>
      <c r="H42" s="16">
        <v>0.0</v>
      </c>
      <c r="I42" s="16">
        <v>26.0</v>
      </c>
      <c r="J42" s="16">
        <v>16.0</v>
      </c>
      <c r="K42" s="16">
        <v>7.0</v>
      </c>
      <c r="L42" s="16">
        <v>2.0</v>
      </c>
      <c r="M42" s="16">
        <v>0.0</v>
      </c>
    </row>
    <row r="43" ht="13.5" customHeight="1">
      <c r="A43" s="16" t="s">
        <v>50</v>
      </c>
      <c r="B43" s="19">
        <f t="shared" si="2"/>
        <v>125</v>
      </c>
      <c r="C43" s="19">
        <f t="shared" si="3"/>
        <v>128</v>
      </c>
      <c r="D43" s="16">
        <v>77.0</v>
      </c>
      <c r="E43" s="16">
        <v>32.0</v>
      </c>
      <c r="F43" s="16">
        <v>6.0</v>
      </c>
      <c r="G43" s="16">
        <v>10.0</v>
      </c>
      <c r="H43" s="16">
        <v>0.0</v>
      </c>
      <c r="I43" s="16">
        <v>80.0</v>
      </c>
      <c r="J43" s="16">
        <v>32.0</v>
      </c>
      <c r="K43" s="16">
        <v>6.0</v>
      </c>
      <c r="L43" s="16">
        <v>10.0</v>
      </c>
      <c r="M43" s="16">
        <v>0.0</v>
      </c>
    </row>
    <row r="44" ht="13.5" customHeight="1">
      <c r="A44" s="16" t="s">
        <v>51</v>
      </c>
      <c r="B44" s="19">
        <f t="shared" si="2"/>
        <v>297</v>
      </c>
      <c r="C44" s="19">
        <f t="shared" si="3"/>
        <v>300</v>
      </c>
      <c r="D44" s="16">
        <v>171.0</v>
      </c>
      <c r="E44" s="16">
        <v>86.0</v>
      </c>
      <c r="F44" s="16">
        <v>23.0</v>
      </c>
      <c r="G44" s="16">
        <v>17.0</v>
      </c>
      <c r="H44" s="16">
        <v>0.0</v>
      </c>
      <c r="I44" s="16">
        <v>174.0</v>
      </c>
      <c r="J44" s="16">
        <v>86.0</v>
      </c>
      <c r="K44" s="16">
        <v>23.0</v>
      </c>
      <c r="L44" s="16">
        <v>17.0</v>
      </c>
      <c r="M44" s="16">
        <v>0.0</v>
      </c>
    </row>
    <row r="45" ht="13.5" customHeight="1">
      <c r="A45" s="16" t="s">
        <v>52</v>
      </c>
      <c r="B45" s="19">
        <f t="shared" si="2"/>
        <v>184</v>
      </c>
      <c r="C45" s="19">
        <f t="shared" si="3"/>
        <v>185</v>
      </c>
      <c r="D45" s="16">
        <v>75.0</v>
      </c>
      <c r="E45" s="16">
        <v>79.0</v>
      </c>
      <c r="F45" s="16">
        <v>16.0</v>
      </c>
      <c r="G45" s="16">
        <v>14.0</v>
      </c>
      <c r="H45" s="16">
        <v>0.0</v>
      </c>
      <c r="I45" s="16">
        <v>75.0</v>
      </c>
      <c r="J45" s="16">
        <v>80.0</v>
      </c>
      <c r="K45" s="16">
        <v>16.0</v>
      </c>
      <c r="L45" s="16">
        <v>14.0</v>
      </c>
      <c r="M45" s="16">
        <v>0.0</v>
      </c>
    </row>
    <row r="46" ht="13.5" customHeight="1">
      <c r="A46" s="16" t="s">
        <v>53</v>
      </c>
      <c r="B46" s="19">
        <f t="shared" si="2"/>
        <v>102</v>
      </c>
      <c r="C46" s="19">
        <f t="shared" si="3"/>
        <v>102</v>
      </c>
      <c r="D46" s="16">
        <v>70.0</v>
      </c>
      <c r="E46" s="16">
        <v>31.0</v>
      </c>
      <c r="F46" s="16">
        <v>1.0</v>
      </c>
      <c r="G46" s="16">
        <v>0.0</v>
      </c>
      <c r="H46" s="16">
        <v>0.0</v>
      </c>
      <c r="I46" s="16">
        <v>70.0</v>
      </c>
      <c r="J46" s="16">
        <v>31.0</v>
      </c>
      <c r="K46" s="16">
        <v>1.0</v>
      </c>
      <c r="L46" s="16">
        <v>0.0</v>
      </c>
      <c r="M46" s="16">
        <v>0.0</v>
      </c>
    </row>
    <row r="47" ht="13.5" customHeight="1">
      <c r="A47" s="16" t="s">
        <v>54</v>
      </c>
      <c r="B47" s="19">
        <f t="shared" si="2"/>
        <v>296</v>
      </c>
      <c r="C47" s="19">
        <f t="shared" si="3"/>
        <v>307</v>
      </c>
      <c r="D47" s="16">
        <v>163.0</v>
      </c>
      <c r="E47" s="16">
        <v>65.0</v>
      </c>
      <c r="F47" s="16">
        <v>15.0</v>
      </c>
      <c r="G47" s="16">
        <v>53.0</v>
      </c>
      <c r="H47" s="16">
        <v>0.0</v>
      </c>
      <c r="I47" s="16">
        <v>170.0</v>
      </c>
      <c r="J47" s="16">
        <v>67.0</v>
      </c>
      <c r="K47" s="16">
        <v>16.0</v>
      </c>
      <c r="L47" s="16">
        <v>54.0</v>
      </c>
      <c r="M47" s="16">
        <v>0.0</v>
      </c>
    </row>
    <row r="48" ht="13.5" customHeight="1">
      <c r="A48" s="17">
        <v>3754.0</v>
      </c>
      <c r="B48" s="18">
        <f t="shared" si="2"/>
        <v>208</v>
      </c>
      <c r="C48" s="18">
        <f t="shared" si="3"/>
        <v>223</v>
      </c>
      <c r="D48" s="18">
        <f t="shared" ref="D48:M48" si="5">SUM(D49:D52)</f>
        <v>120</v>
      </c>
      <c r="E48" s="18">
        <f t="shared" si="5"/>
        <v>47</v>
      </c>
      <c r="F48" s="18">
        <f t="shared" si="5"/>
        <v>10</v>
      </c>
      <c r="G48" s="18">
        <f t="shared" si="5"/>
        <v>31</v>
      </c>
      <c r="H48" s="18">
        <f t="shared" si="5"/>
        <v>0</v>
      </c>
      <c r="I48" s="18">
        <f t="shared" si="5"/>
        <v>130</v>
      </c>
      <c r="J48" s="18">
        <f t="shared" si="5"/>
        <v>50</v>
      </c>
      <c r="K48" s="18">
        <f t="shared" si="5"/>
        <v>10</v>
      </c>
      <c r="L48" s="18">
        <f t="shared" si="5"/>
        <v>33</v>
      </c>
      <c r="M48" s="18">
        <f t="shared" si="5"/>
        <v>0</v>
      </c>
    </row>
    <row r="49" ht="13.5" customHeight="1">
      <c r="A49" s="16" t="s">
        <v>55</v>
      </c>
      <c r="B49" s="19">
        <f t="shared" si="2"/>
        <v>9</v>
      </c>
      <c r="C49" s="19">
        <f t="shared" si="3"/>
        <v>9</v>
      </c>
      <c r="D49" s="16">
        <v>4.0</v>
      </c>
      <c r="E49" s="16">
        <v>2.0</v>
      </c>
      <c r="F49" s="16">
        <v>0.0</v>
      </c>
      <c r="G49" s="16">
        <v>3.0</v>
      </c>
      <c r="H49" s="16">
        <v>0.0</v>
      </c>
      <c r="I49" s="16">
        <v>4.0</v>
      </c>
      <c r="J49" s="16">
        <v>2.0</v>
      </c>
      <c r="K49" s="16">
        <v>0.0</v>
      </c>
      <c r="L49" s="16">
        <v>3.0</v>
      </c>
      <c r="M49" s="16">
        <v>0.0</v>
      </c>
      <c r="N49" s="15"/>
      <c r="O49" s="15"/>
      <c r="P49" s="15"/>
      <c r="Q49" s="15"/>
      <c r="R49" s="15"/>
      <c r="S49" s="15"/>
      <c r="T49" s="15"/>
    </row>
    <row r="50" ht="13.5" customHeight="1">
      <c r="A50" s="16" t="s">
        <v>56</v>
      </c>
      <c r="B50" s="19">
        <f t="shared" si="2"/>
        <v>50</v>
      </c>
      <c r="C50" s="19">
        <f t="shared" si="3"/>
        <v>50</v>
      </c>
      <c r="D50" s="16">
        <v>38.0</v>
      </c>
      <c r="E50" s="16">
        <v>11.0</v>
      </c>
      <c r="F50" s="16">
        <v>1.0</v>
      </c>
      <c r="G50" s="16">
        <v>0.0</v>
      </c>
      <c r="H50" s="16">
        <v>0.0</v>
      </c>
      <c r="I50" s="16">
        <v>38.0</v>
      </c>
      <c r="J50" s="16">
        <v>11.0</v>
      </c>
      <c r="K50" s="16">
        <v>1.0</v>
      </c>
      <c r="L50" s="16">
        <v>0.0</v>
      </c>
      <c r="M50" s="16">
        <v>0.0</v>
      </c>
    </row>
    <row r="51" ht="13.5" customHeight="1">
      <c r="A51" s="16" t="s">
        <v>57</v>
      </c>
      <c r="B51" s="19">
        <f t="shared" si="2"/>
        <v>119</v>
      </c>
      <c r="C51" s="19">
        <f t="shared" si="3"/>
        <v>133</v>
      </c>
      <c r="D51" s="16">
        <v>64.0</v>
      </c>
      <c r="E51" s="16">
        <v>23.0</v>
      </c>
      <c r="F51" s="16">
        <v>5.0</v>
      </c>
      <c r="G51" s="16">
        <v>27.0</v>
      </c>
      <c r="H51" s="16">
        <v>0.0</v>
      </c>
      <c r="I51" s="16">
        <v>73.0</v>
      </c>
      <c r="J51" s="16">
        <v>26.0</v>
      </c>
      <c r="K51" s="16">
        <v>5.0</v>
      </c>
      <c r="L51" s="16">
        <v>29.0</v>
      </c>
      <c r="M51" s="16">
        <v>0.0</v>
      </c>
    </row>
    <row r="52" ht="13.5" customHeight="1">
      <c r="A52" s="16" t="s">
        <v>58</v>
      </c>
      <c r="B52" s="19">
        <f t="shared" si="2"/>
        <v>30</v>
      </c>
      <c r="C52" s="19">
        <f t="shared" si="3"/>
        <v>31</v>
      </c>
      <c r="D52" s="16">
        <v>14.0</v>
      </c>
      <c r="E52" s="16">
        <v>11.0</v>
      </c>
      <c r="F52" s="16">
        <v>4.0</v>
      </c>
      <c r="G52" s="16">
        <v>1.0</v>
      </c>
      <c r="H52" s="16">
        <v>0.0</v>
      </c>
      <c r="I52" s="16">
        <v>15.0</v>
      </c>
      <c r="J52" s="16">
        <v>11.0</v>
      </c>
      <c r="K52" s="16">
        <v>4.0</v>
      </c>
      <c r="L52" s="16">
        <v>1.0</v>
      </c>
      <c r="M52" s="16">
        <v>0.0</v>
      </c>
    </row>
    <row r="53" ht="13.5" customHeight="1">
      <c r="A53" s="17">
        <v>3755.0</v>
      </c>
      <c r="B53" s="18">
        <f t="shared" si="2"/>
        <v>69</v>
      </c>
      <c r="C53" s="18">
        <f t="shared" si="3"/>
        <v>70</v>
      </c>
      <c r="D53" s="14">
        <f t="shared" ref="D53:M53" si="6">SUM(D54:D55)</f>
        <v>25</v>
      </c>
      <c r="E53" s="14">
        <f t="shared" si="6"/>
        <v>14</v>
      </c>
      <c r="F53" s="14">
        <f t="shared" si="6"/>
        <v>6</v>
      </c>
      <c r="G53" s="14">
        <f t="shared" si="6"/>
        <v>24</v>
      </c>
      <c r="H53" s="14">
        <f t="shared" si="6"/>
        <v>0</v>
      </c>
      <c r="I53" s="14">
        <f t="shared" si="6"/>
        <v>25</v>
      </c>
      <c r="J53" s="14">
        <f t="shared" si="6"/>
        <v>15</v>
      </c>
      <c r="K53" s="14">
        <f t="shared" si="6"/>
        <v>6</v>
      </c>
      <c r="L53" s="14">
        <f t="shared" si="6"/>
        <v>24</v>
      </c>
      <c r="M53" s="14">
        <f t="shared" si="6"/>
        <v>0</v>
      </c>
    </row>
    <row r="54" ht="13.5" customHeight="1">
      <c r="A54" s="16" t="s">
        <v>59</v>
      </c>
      <c r="B54" s="19">
        <f t="shared" si="2"/>
        <v>24</v>
      </c>
      <c r="C54" s="19">
        <f t="shared" si="3"/>
        <v>24</v>
      </c>
      <c r="D54" s="16">
        <v>10.0</v>
      </c>
      <c r="E54" s="16">
        <v>2.0</v>
      </c>
      <c r="F54" s="16">
        <v>1.0</v>
      </c>
      <c r="G54" s="16">
        <v>11.0</v>
      </c>
      <c r="H54" s="16">
        <v>0.0</v>
      </c>
      <c r="I54" s="16">
        <v>10.0</v>
      </c>
      <c r="J54" s="16">
        <v>2.0</v>
      </c>
      <c r="K54" s="16">
        <v>1.0</v>
      </c>
      <c r="L54" s="16">
        <v>11.0</v>
      </c>
      <c r="M54" s="16">
        <v>0.0</v>
      </c>
    </row>
    <row r="55" ht="13.5" customHeight="1">
      <c r="A55" s="16" t="s">
        <v>60</v>
      </c>
      <c r="B55" s="19">
        <f t="shared" si="2"/>
        <v>45</v>
      </c>
      <c r="C55" s="19">
        <f t="shared" si="3"/>
        <v>46</v>
      </c>
      <c r="D55" s="16">
        <v>15.0</v>
      </c>
      <c r="E55" s="16">
        <v>12.0</v>
      </c>
      <c r="F55" s="16">
        <v>5.0</v>
      </c>
      <c r="G55" s="16">
        <v>13.0</v>
      </c>
      <c r="H55" s="16">
        <v>0.0</v>
      </c>
      <c r="I55" s="16">
        <v>15.0</v>
      </c>
      <c r="J55" s="16">
        <v>13.0</v>
      </c>
      <c r="K55" s="16">
        <v>5.0</v>
      </c>
      <c r="L55" s="16">
        <v>13.0</v>
      </c>
      <c r="M55" s="16">
        <v>0.0</v>
      </c>
    </row>
    <row r="56" ht="13.5" customHeight="1">
      <c r="A56" s="20" t="s">
        <v>61</v>
      </c>
      <c r="B56" s="20">
        <f t="shared" ref="B56:C56" si="7">B4+B39+B48+B53</f>
        <v>4975</v>
      </c>
      <c r="C56" s="20">
        <f t="shared" si="7"/>
        <v>5203</v>
      </c>
      <c r="D56" s="20">
        <f t="shared" ref="D56:M56" si="8">D4+D39+D48</f>
        <v>2770</v>
      </c>
      <c r="E56" s="20">
        <f t="shared" si="8"/>
        <v>1380</v>
      </c>
      <c r="F56" s="20">
        <f t="shared" si="8"/>
        <v>297</v>
      </c>
      <c r="G56" s="20">
        <f t="shared" si="8"/>
        <v>459</v>
      </c>
      <c r="H56" s="20">
        <f t="shared" si="8"/>
        <v>0</v>
      </c>
      <c r="I56" s="20">
        <f t="shared" si="8"/>
        <v>2914</v>
      </c>
      <c r="J56" s="20">
        <f t="shared" si="8"/>
        <v>1436</v>
      </c>
      <c r="K56" s="20">
        <f t="shared" si="8"/>
        <v>309</v>
      </c>
      <c r="L56" s="20">
        <f t="shared" si="8"/>
        <v>474</v>
      </c>
      <c r="M56" s="20">
        <f t="shared" si="8"/>
        <v>0</v>
      </c>
    </row>
    <row r="57" ht="13.5" customHeight="1"/>
    <row r="58" ht="13.5" customHeight="1">
      <c r="A58" s="21" t="s">
        <v>62</v>
      </c>
      <c r="B58" s="22"/>
      <c r="C58" s="22"/>
      <c r="D58" s="22"/>
      <c r="E58" s="22"/>
      <c r="F58" s="22"/>
      <c r="G58" s="22"/>
      <c r="H58" s="22"/>
      <c r="I58" s="22"/>
      <c r="J58" s="22"/>
      <c r="K58" s="23"/>
    </row>
    <row r="59" ht="13.5" customHeight="1">
      <c r="A59" s="24" t="s">
        <v>63</v>
      </c>
      <c r="B59" s="25" t="s">
        <v>8</v>
      </c>
      <c r="C59" s="23"/>
      <c r="D59" s="25" t="s">
        <v>9</v>
      </c>
      <c r="E59" s="23"/>
      <c r="F59" s="25" t="s">
        <v>10</v>
      </c>
      <c r="G59" s="23"/>
      <c r="H59" s="25" t="s">
        <v>11</v>
      </c>
      <c r="I59" s="23"/>
      <c r="J59" s="26" t="s">
        <v>64</v>
      </c>
      <c r="K59" s="26" t="s">
        <v>65</v>
      </c>
    </row>
    <row r="60" ht="13.5" customHeight="1">
      <c r="A60" s="27"/>
      <c r="B60" s="26" t="s">
        <v>66</v>
      </c>
      <c r="C60" s="26" t="s">
        <v>7</v>
      </c>
      <c r="D60" s="26" t="s">
        <v>66</v>
      </c>
      <c r="E60" s="26" t="s">
        <v>7</v>
      </c>
      <c r="F60" s="26" t="s">
        <v>66</v>
      </c>
      <c r="G60" s="26" t="s">
        <v>7</v>
      </c>
      <c r="H60" s="26" t="s">
        <v>66</v>
      </c>
      <c r="I60" s="26" t="s">
        <v>7</v>
      </c>
      <c r="J60" s="26" t="s">
        <v>66</v>
      </c>
      <c r="K60" s="26" t="s">
        <v>7</v>
      </c>
    </row>
    <row r="61" ht="13.5" customHeight="1">
      <c r="A61" s="28" t="s">
        <v>67</v>
      </c>
      <c r="B61" s="29">
        <v>2200.0</v>
      </c>
      <c r="C61" s="29">
        <v>2420.0</v>
      </c>
      <c r="D61" s="29">
        <v>1108.0</v>
      </c>
      <c r="E61" s="29">
        <v>1208.0</v>
      </c>
      <c r="F61" s="29">
        <v>274.0</v>
      </c>
      <c r="G61" s="29">
        <v>295.0</v>
      </c>
      <c r="H61" s="29">
        <v>463.0</v>
      </c>
      <c r="I61" s="29">
        <v>491.0</v>
      </c>
      <c r="J61" s="29">
        <f t="shared" ref="J61:K61" si="9">SUM(B61+D61+F61+H61)</f>
        <v>4045</v>
      </c>
      <c r="K61" s="29">
        <f t="shared" si="9"/>
        <v>4414</v>
      </c>
    </row>
    <row r="62" ht="13.5" customHeight="1">
      <c r="A62" s="28" t="s">
        <v>68</v>
      </c>
      <c r="B62" s="29">
        <v>500.0</v>
      </c>
      <c r="C62" s="29">
        <v>519.0</v>
      </c>
      <c r="D62" s="29">
        <v>227.0</v>
      </c>
      <c r="E62" s="29">
        <v>239.0</v>
      </c>
      <c r="F62" s="29">
        <v>22.0</v>
      </c>
      <c r="G62" s="29">
        <v>22.0</v>
      </c>
      <c r="H62" s="29">
        <v>4.0</v>
      </c>
      <c r="I62" s="29">
        <v>9.0</v>
      </c>
      <c r="J62" s="29">
        <f t="shared" ref="J62:K62" si="10">SUM(B62+D62+F62+H62)</f>
        <v>753</v>
      </c>
      <c r="K62" s="29">
        <f t="shared" si="10"/>
        <v>789</v>
      </c>
    </row>
    <row r="63" ht="13.5" customHeight="1">
      <c r="A63" s="30" t="s">
        <v>69</v>
      </c>
      <c r="B63" s="30">
        <f t="shared" ref="B63:K63" si="11">SUM(B61:B62)</f>
        <v>2700</v>
      </c>
      <c r="C63" s="30">
        <f t="shared" si="11"/>
        <v>2939</v>
      </c>
      <c r="D63" s="30">
        <f t="shared" si="11"/>
        <v>1335</v>
      </c>
      <c r="E63" s="30">
        <f t="shared" si="11"/>
        <v>1447</v>
      </c>
      <c r="F63" s="30">
        <f t="shared" si="11"/>
        <v>296</v>
      </c>
      <c r="G63" s="30">
        <f t="shared" si="11"/>
        <v>317</v>
      </c>
      <c r="H63" s="30">
        <f t="shared" si="11"/>
        <v>467</v>
      </c>
      <c r="I63" s="30">
        <f t="shared" si="11"/>
        <v>500</v>
      </c>
      <c r="J63" s="30">
        <f t="shared" si="11"/>
        <v>4798</v>
      </c>
      <c r="K63" s="30">
        <f t="shared" si="11"/>
        <v>5203</v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D59:E59"/>
    <mergeCell ref="F59:G59"/>
    <mergeCell ref="A1:L1"/>
    <mergeCell ref="B2:C2"/>
    <mergeCell ref="D2:H2"/>
    <mergeCell ref="I2:L2"/>
    <mergeCell ref="A58:K58"/>
    <mergeCell ref="A59:A60"/>
    <mergeCell ref="B59:C59"/>
    <mergeCell ref="H59:I59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14"/>
    <col customWidth="1" min="2" max="2" width="12.86"/>
    <col customWidth="1" min="3" max="3" width="6.57"/>
    <col customWidth="1" min="4" max="4" width="12.29"/>
    <col customWidth="1" min="5" max="5" width="10.29"/>
    <col customWidth="1" min="6" max="6" width="11.0"/>
    <col customWidth="1" min="7" max="7" width="8.43"/>
    <col customWidth="1" min="8" max="8" width="6.86"/>
    <col customWidth="1" min="9" max="9" width="7.14"/>
    <col customWidth="1" min="10" max="10" width="8.0"/>
    <col customWidth="1" min="11" max="11" width="8.43"/>
    <col customWidth="1" min="12" max="12" width="12.43"/>
    <col customWidth="1" min="13" max="26" width="15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9.25" customHeight="1">
      <c r="A2" s="5" t="s">
        <v>1</v>
      </c>
      <c r="B2" s="6" t="s">
        <v>70</v>
      </c>
      <c r="C2" s="7"/>
      <c r="D2" s="8" t="s">
        <v>3</v>
      </c>
      <c r="E2" s="2"/>
      <c r="F2" s="2"/>
      <c r="G2" s="2"/>
      <c r="H2" s="3"/>
      <c r="I2" s="8" t="s">
        <v>4</v>
      </c>
      <c r="J2" s="2"/>
      <c r="K2" s="2"/>
      <c r="L2" s="3"/>
      <c r="M2" s="9"/>
    </row>
    <row r="3" ht="13.5" customHeight="1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ht="13.5" customHeight="1">
      <c r="A4" s="14">
        <v>3734.0</v>
      </c>
      <c r="B4" s="14">
        <f t="shared" ref="B4:M4" si="1">SUM(B5:B41)</f>
        <v>4556</v>
      </c>
      <c r="C4" s="14">
        <f t="shared" si="1"/>
        <v>6829</v>
      </c>
      <c r="D4" s="14">
        <f t="shared" si="1"/>
        <v>2564</v>
      </c>
      <c r="E4" s="14">
        <f t="shared" si="1"/>
        <v>1258</v>
      </c>
      <c r="F4" s="14">
        <f t="shared" si="1"/>
        <v>262</v>
      </c>
      <c r="G4" s="14">
        <f t="shared" si="1"/>
        <v>470</v>
      </c>
      <c r="H4" s="14">
        <f t="shared" si="1"/>
        <v>2</v>
      </c>
      <c r="I4" s="14">
        <f t="shared" si="1"/>
        <v>3832</v>
      </c>
      <c r="J4" s="14">
        <f t="shared" si="1"/>
        <v>1912</v>
      </c>
      <c r="K4" s="14">
        <f t="shared" si="1"/>
        <v>407</v>
      </c>
      <c r="L4" s="14">
        <f t="shared" si="1"/>
        <v>676</v>
      </c>
      <c r="M4" s="14">
        <f t="shared" si="1"/>
        <v>2</v>
      </c>
      <c r="N4" s="15"/>
      <c r="O4" s="15"/>
      <c r="P4" s="15"/>
      <c r="Q4" s="15"/>
      <c r="R4" s="15"/>
      <c r="S4" s="15"/>
      <c r="T4" s="15"/>
    </row>
    <row r="5" ht="13.5" customHeight="1">
      <c r="A5" s="16" t="s">
        <v>13</v>
      </c>
      <c r="B5" s="16">
        <f t="shared" ref="B5:B61" si="2">SUM(D5:H5)</f>
        <v>10</v>
      </c>
      <c r="C5" s="16">
        <f t="shared" ref="C5:C61" si="3">SUM(I5:M5)</f>
        <v>15</v>
      </c>
      <c r="D5" s="16">
        <v>7.0</v>
      </c>
      <c r="E5" s="16">
        <v>3.0</v>
      </c>
      <c r="F5" s="16">
        <v>0.0</v>
      </c>
      <c r="G5" s="16">
        <v>0.0</v>
      </c>
      <c r="H5" s="16">
        <v>0.0</v>
      </c>
      <c r="I5" s="16">
        <v>11.0</v>
      </c>
      <c r="J5" s="16">
        <v>4.0</v>
      </c>
      <c r="K5" s="16">
        <v>0.0</v>
      </c>
      <c r="L5" s="16">
        <v>0.0</v>
      </c>
      <c r="M5" s="16">
        <v>0.0</v>
      </c>
    </row>
    <row r="6" ht="13.5" customHeight="1">
      <c r="A6" s="16" t="s">
        <v>14</v>
      </c>
      <c r="B6" s="16">
        <f t="shared" si="2"/>
        <v>101</v>
      </c>
      <c r="C6" s="16">
        <f t="shared" si="3"/>
        <v>101</v>
      </c>
      <c r="D6" s="16">
        <v>59.0</v>
      </c>
      <c r="E6" s="16">
        <v>35.0</v>
      </c>
      <c r="F6" s="16">
        <v>7.0</v>
      </c>
      <c r="G6" s="16">
        <v>0.0</v>
      </c>
      <c r="H6" s="16">
        <v>0.0</v>
      </c>
      <c r="I6" s="16">
        <v>59.0</v>
      </c>
      <c r="J6" s="16">
        <v>35.0</v>
      </c>
      <c r="K6" s="16">
        <v>7.0</v>
      </c>
      <c r="L6" s="16">
        <v>0.0</v>
      </c>
      <c r="M6" s="16">
        <v>0.0</v>
      </c>
    </row>
    <row r="7" ht="13.5" customHeight="1">
      <c r="A7" s="16" t="s">
        <v>15</v>
      </c>
      <c r="B7" s="16">
        <f t="shared" si="2"/>
        <v>160</v>
      </c>
      <c r="C7" s="16">
        <f t="shared" si="3"/>
        <v>226</v>
      </c>
      <c r="D7" s="16">
        <v>89.0</v>
      </c>
      <c r="E7" s="16">
        <v>42.0</v>
      </c>
      <c r="F7" s="16">
        <v>11.0</v>
      </c>
      <c r="G7" s="16">
        <v>18.0</v>
      </c>
      <c r="H7" s="16">
        <v>0.0</v>
      </c>
      <c r="I7" s="16">
        <v>131.0</v>
      </c>
      <c r="J7" s="16">
        <v>54.0</v>
      </c>
      <c r="K7" s="16">
        <v>14.0</v>
      </c>
      <c r="L7" s="16">
        <v>27.0</v>
      </c>
      <c r="M7" s="16">
        <v>0.0</v>
      </c>
    </row>
    <row r="8" ht="13.5" customHeight="1">
      <c r="A8" s="16" t="s">
        <v>16</v>
      </c>
      <c r="B8" s="16">
        <f t="shared" si="2"/>
        <v>29</v>
      </c>
      <c r="C8" s="16">
        <f t="shared" si="3"/>
        <v>42</v>
      </c>
      <c r="D8" s="16">
        <v>14.0</v>
      </c>
      <c r="E8" s="16">
        <v>10.0</v>
      </c>
      <c r="F8" s="16">
        <v>2.0</v>
      </c>
      <c r="G8" s="16">
        <v>3.0</v>
      </c>
      <c r="H8" s="16">
        <v>0.0</v>
      </c>
      <c r="I8" s="16">
        <v>22.0</v>
      </c>
      <c r="J8" s="16">
        <v>15.0</v>
      </c>
      <c r="K8" s="16">
        <v>2.0</v>
      </c>
      <c r="L8" s="16">
        <v>3.0</v>
      </c>
      <c r="M8" s="16">
        <v>0.0</v>
      </c>
    </row>
    <row r="9" ht="13.5" customHeight="1">
      <c r="A9" s="16" t="s">
        <v>17</v>
      </c>
      <c r="B9" s="16">
        <f t="shared" si="2"/>
        <v>133</v>
      </c>
      <c r="C9" s="16">
        <f t="shared" si="3"/>
        <v>224</v>
      </c>
      <c r="D9" s="16">
        <v>69.0</v>
      </c>
      <c r="E9" s="16">
        <v>40.0</v>
      </c>
      <c r="F9" s="16">
        <v>10.0</v>
      </c>
      <c r="G9" s="16">
        <v>14.0</v>
      </c>
      <c r="H9" s="16">
        <v>0.0</v>
      </c>
      <c r="I9" s="16">
        <v>114.0</v>
      </c>
      <c r="J9" s="16">
        <v>69.0</v>
      </c>
      <c r="K9" s="16">
        <v>18.0</v>
      </c>
      <c r="L9" s="16">
        <v>23.0</v>
      </c>
      <c r="M9" s="16">
        <v>0.0</v>
      </c>
    </row>
    <row r="10" ht="13.5" customHeight="1">
      <c r="A10" s="16" t="s">
        <v>18</v>
      </c>
      <c r="B10" s="16">
        <f t="shared" si="2"/>
        <v>74</v>
      </c>
      <c r="C10" s="16">
        <f t="shared" si="3"/>
        <v>133</v>
      </c>
      <c r="D10" s="16">
        <v>27.0</v>
      </c>
      <c r="E10" s="16">
        <v>26.0</v>
      </c>
      <c r="F10" s="16">
        <v>16.0</v>
      </c>
      <c r="G10" s="16">
        <v>5.0</v>
      </c>
      <c r="H10" s="16">
        <v>0.0</v>
      </c>
      <c r="I10" s="16">
        <v>52.0</v>
      </c>
      <c r="J10" s="16">
        <v>44.0</v>
      </c>
      <c r="K10" s="16">
        <v>27.0</v>
      </c>
      <c r="L10" s="16">
        <v>10.0</v>
      </c>
      <c r="M10" s="16">
        <v>0.0</v>
      </c>
    </row>
    <row r="11" ht="13.5" customHeight="1">
      <c r="A11" s="16" t="s">
        <v>19</v>
      </c>
      <c r="B11" s="16">
        <f t="shared" si="2"/>
        <v>614</v>
      </c>
      <c r="C11" s="16">
        <f t="shared" si="3"/>
        <v>964</v>
      </c>
      <c r="D11" s="16">
        <v>368.0</v>
      </c>
      <c r="E11" s="16">
        <v>148.0</v>
      </c>
      <c r="F11" s="16">
        <v>25.0</v>
      </c>
      <c r="G11" s="16">
        <v>73.0</v>
      </c>
      <c r="H11" s="16">
        <v>0.0</v>
      </c>
      <c r="I11" s="16">
        <v>584.0</v>
      </c>
      <c r="J11" s="16">
        <v>235.0</v>
      </c>
      <c r="K11" s="16">
        <v>38.0</v>
      </c>
      <c r="L11" s="16">
        <v>107.0</v>
      </c>
      <c r="M11" s="16">
        <v>0.0</v>
      </c>
    </row>
    <row r="12" ht="13.5" customHeight="1">
      <c r="A12" s="16" t="s">
        <v>20</v>
      </c>
      <c r="B12" s="16">
        <f t="shared" si="2"/>
        <v>29</v>
      </c>
      <c r="C12" s="16">
        <f t="shared" si="3"/>
        <v>47</v>
      </c>
      <c r="D12" s="16">
        <v>20.0</v>
      </c>
      <c r="E12" s="16">
        <v>4.0</v>
      </c>
      <c r="F12" s="16">
        <v>1.0</v>
      </c>
      <c r="G12" s="16">
        <v>4.0</v>
      </c>
      <c r="H12" s="16">
        <v>0.0</v>
      </c>
      <c r="I12" s="16">
        <v>34.0</v>
      </c>
      <c r="J12" s="16">
        <v>6.0</v>
      </c>
      <c r="K12" s="16">
        <v>1.0</v>
      </c>
      <c r="L12" s="16">
        <v>6.0</v>
      </c>
      <c r="M12" s="16">
        <v>0.0</v>
      </c>
    </row>
    <row r="13" ht="13.5" customHeight="1">
      <c r="A13" s="16" t="s">
        <v>21</v>
      </c>
      <c r="B13" s="16">
        <f t="shared" si="2"/>
        <v>407</v>
      </c>
      <c r="C13" s="16">
        <f t="shared" si="3"/>
        <v>650</v>
      </c>
      <c r="D13" s="16">
        <v>250.0</v>
      </c>
      <c r="E13" s="16">
        <v>99.0</v>
      </c>
      <c r="F13" s="16">
        <v>16.0</v>
      </c>
      <c r="G13" s="16">
        <v>42.0</v>
      </c>
      <c r="H13" s="16">
        <v>0.0</v>
      </c>
      <c r="I13" s="16">
        <v>400.0</v>
      </c>
      <c r="J13" s="16">
        <v>165.0</v>
      </c>
      <c r="K13" s="16">
        <v>25.0</v>
      </c>
      <c r="L13" s="16">
        <v>60.0</v>
      </c>
      <c r="M13" s="16">
        <v>0.0</v>
      </c>
    </row>
    <row r="14" ht="13.5" customHeight="1">
      <c r="A14" s="16" t="s">
        <v>22</v>
      </c>
      <c r="B14" s="16">
        <f t="shared" si="2"/>
        <v>152</v>
      </c>
      <c r="C14" s="16">
        <f t="shared" si="3"/>
        <v>242</v>
      </c>
      <c r="D14" s="16">
        <v>93.0</v>
      </c>
      <c r="E14" s="16">
        <v>36.0</v>
      </c>
      <c r="F14" s="16">
        <v>7.0</v>
      </c>
      <c r="G14" s="16">
        <v>16.0</v>
      </c>
      <c r="H14" s="16">
        <v>0.0</v>
      </c>
      <c r="I14" s="16">
        <v>144.0</v>
      </c>
      <c r="J14" s="16">
        <v>65.0</v>
      </c>
      <c r="K14" s="16">
        <v>12.0</v>
      </c>
      <c r="L14" s="16">
        <v>21.0</v>
      </c>
      <c r="M14" s="16">
        <v>0.0</v>
      </c>
    </row>
    <row r="15" ht="13.5" customHeight="1">
      <c r="A15" s="16" t="s">
        <v>23</v>
      </c>
      <c r="B15" s="16">
        <f t="shared" si="2"/>
        <v>77</v>
      </c>
      <c r="C15" s="16">
        <f t="shared" si="3"/>
        <v>142</v>
      </c>
      <c r="D15" s="16">
        <v>39.0</v>
      </c>
      <c r="E15" s="16">
        <v>21.0</v>
      </c>
      <c r="F15" s="16">
        <v>5.0</v>
      </c>
      <c r="G15" s="16">
        <v>12.0</v>
      </c>
      <c r="H15" s="16">
        <v>0.0</v>
      </c>
      <c r="I15" s="16">
        <v>73.0</v>
      </c>
      <c r="J15" s="16">
        <v>43.0</v>
      </c>
      <c r="K15" s="16">
        <v>8.0</v>
      </c>
      <c r="L15" s="16">
        <v>18.0</v>
      </c>
      <c r="M15" s="16">
        <v>0.0</v>
      </c>
    </row>
    <row r="16" ht="13.5" customHeight="1">
      <c r="A16" s="16" t="s">
        <v>24</v>
      </c>
      <c r="B16" s="16">
        <f t="shared" si="2"/>
        <v>48</v>
      </c>
      <c r="C16" s="16">
        <f t="shared" si="3"/>
        <v>87</v>
      </c>
      <c r="D16" s="16">
        <v>25.0</v>
      </c>
      <c r="E16" s="16">
        <v>14.0</v>
      </c>
      <c r="F16" s="16">
        <v>4.0</v>
      </c>
      <c r="G16" s="16">
        <v>5.0</v>
      </c>
      <c r="H16" s="16">
        <v>0.0</v>
      </c>
      <c r="I16" s="16">
        <v>50.0</v>
      </c>
      <c r="J16" s="16">
        <v>26.0</v>
      </c>
      <c r="K16" s="16">
        <v>6.0</v>
      </c>
      <c r="L16" s="16">
        <v>5.0</v>
      </c>
      <c r="M16" s="16">
        <v>0.0</v>
      </c>
    </row>
    <row r="17" ht="13.5" customHeight="1">
      <c r="A17" s="16" t="s">
        <v>25</v>
      </c>
      <c r="B17" s="16">
        <f t="shared" si="2"/>
        <v>218</v>
      </c>
      <c r="C17" s="16">
        <f t="shared" si="3"/>
        <v>321</v>
      </c>
      <c r="D17" s="16">
        <v>122.0</v>
      </c>
      <c r="E17" s="16">
        <v>52.0</v>
      </c>
      <c r="F17" s="16">
        <v>16.0</v>
      </c>
      <c r="G17" s="16">
        <v>28.0</v>
      </c>
      <c r="H17" s="16">
        <v>0.0</v>
      </c>
      <c r="I17" s="16">
        <v>182.0</v>
      </c>
      <c r="J17" s="16">
        <v>79.0</v>
      </c>
      <c r="K17" s="16">
        <v>21.0</v>
      </c>
      <c r="L17" s="16">
        <v>39.0</v>
      </c>
      <c r="M17" s="16">
        <v>0.0</v>
      </c>
    </row>
    <row r="18" ht="13.5" customHeight="1">
      <c r="A18" s="16" t="s">
        <v>26</v>
      </c>
      <c r="B18" s="16">
        <f t="shared" si="2"/>
        <v>92</v>
      </c>
      <c r="C18" s="16">
        <f t="shared" si="3"/>
        <v>146</v>
      </c>
      <c r="D18" s="16">
        <v>39.0</v>
      </c>
      <c r="E18" s="16">
        <v>36.0</v>
      </c>
      <c r="F18" s="16">
        <v>4.0</v>
      </c>
      <c r="G18" s="16">
        <v>13.0</v>
      </c>
      <c r="H18" s="16">
        <v>0.0</v>
      </c>
      <c r="I18" s="16">
        <v>59.0</v>
      </c>
      <c r="J18" s="16">
        <v>60.0</v>
      </c>
      <c r="K18" s="16">
        <v>6.0</v>
      </c>
      <c r="L18" s="16">
        <v>21.0</v>
      </c>
      <c r="M18" s="16">
        <v>0.0</v>
      </c>
    </row>
    <row r="19" ht="13.5" customHeight="1">
      <c r="A19" s="16" t="s">
        <v>27</v>
      </c>
      <c r="B19" s="16">
        <f t="shared" si="2"/>
        <v>145</v>
      </c>
      <c r="C19" s="16">
        <f t="shared" si="3"/>
        <v>239</v>
      </c>
      <c r="D19" s="16">
        <v>88.0</v>
      </c>
      <c r="E19" s="16">
        <v>32.0</v>
      </c>
      <c r="F19" s="16">
        <v>6.0</v>
      </c>
      <c r="G19" s="16">
        <v>19.0</v>
      </c>
      <c r="H19" s="16">
        <v>0.0</v>
      </c>
      <c r="I19" s="16">
        <v>142.0</v>
      </c>
      <c r="J19" s="16">
        <v>58.0</v>
      </c>
      <c r="K19" s="16">
        <v>14.0</v>
      </c>
      <c r="L19" s="16">
        <v>25.0</v>
      </c>
      <c r="M19" s="16">
        <v>0.0</v>
      </c>
    </row>
    <row r="20" ht="13.5" customHeight="1">
      <c r="A20" s="16" t="s">
        <v>28</v>
      </c>
      <c r="B20" s="16">
        <f t="shared" si="2"/>
        <v>56</v>
      </c>
      <c r="C20" s="16">
        <f t="shared" si="3"/>
        <v>57</v>
      </c>
      <c r="D20" s="16">
        <v>37.0</v>
      </c>
      <c r="E20" s="16">
        <v>16.0</v>
      </c>
      <c r="F20" s="16">
        <v>1.0</v>
      </c>
      <c r="G20" s="16">
        <v>2.0</v>
      </c>
      <c r="H20" s="16">
        <v>0.0</v>
      </c>
      <c r="I20" s="16">
        <v>37.0</v>
      </c>
      <c r="J20" s="16">
        <v>17.0</v>
      </c>
      <c r="K20" s="16">
        <v>1.0</v>
      </c>
      <c r="L20" s="16">
        <v>2.0</v>
      </c>
      <c r="M20" s="16">
        <v>0.0</v>
      </c>
    </row>
    <row r="21" ht="13.5" customHeight="1">
      <c r="A21" s="16" t="s">
        <v>29</v>
      </c>
      <c r="B21" s="16">
        <f t="shared" si="2"/>
        <v>36</v>
      </c>
      <c r="C21" s="16">
        <f t="shared" si="3"/>
        <v>47</v>
      </c>
      <c r="D21" s="16">
        <v>23.0</v>
      </c>
      <c r="E21" s="16">
        <v>10.0</v>
      </c>
      <c r="F21" s="16">
        <v>1.0</v>
      </c>
      <c r="G21" s="16">
        <v>2.0</v>
      </c>
      <c r="H21" s="16">
        <v>0.0</v>
      </c>
      <c r="I21" s="16">
        <v>33.0</v>
      </c>
      <c r="J21" s="16">
        <v>11.0</v>
      </c>
      <c r="K21" s="16">
        <v>1.0</v>
      </c>
      <c r="L21" s="16">
        <v>2.0</v>
      </c>
      <c r="M21" s="16">
        <v>0.0</v>
      </c>
    </row>
    <row r="22" ht="13.5" customHeight="1">
      <c r="A22" s="16" t="s">
        <v>71</v>
      </c>
      <c r="B22" s="16">
        <f t="shared" si="2"/>
        <v>1</v>
      </c>
      <c r="C22" s="16">
        <f t="shared" si="3"/>
        <v>1</v>
      </c>
      <c r="D22" s="16">
        <v>0.0</v>
      </c>
      <c r="E22" s="16">
        <v>0.0</v>
      </c>
      <c r="F22" s="16">
        <v>0.0</v>
      </c>
      <c r="G22" s="16">
        <v>1.0</v>
      </c>
      <c r="H22" s="16">
        <v>0.0</v>
      </c>
      <c r="I22" s="16">
        <v>0.0</v>
      </c>
      <c r="J22" s="16">
        <v>0.0</v>
      </c>
      <c r="K22" s="16">
        <v>0.0</v>
      </c>
      <c r="L22" s="16">
        <v>1.0</v>
      </c>
      <c r="M22" s="16">
        <v>0.0</v>
      </c>
    </row>
    <row r="23" ht="13.5" customHeight="1">
      <c r="A23" s="16" t="s">
        <v>72</v>
      </c>
      <c r="B23" s="16">
        <f t="shared" si="2"/>
        <v>1</v>
      </c>
      <c r="C23" s="16">
        <f t="shared" si="3"/>
        <v>1</v>
      </c>
      <c r="D23" s="16">
        <v>0.0</v>
      </c>
      <c r="E23" s="16">
        <v>0.0</v>
      </c>
      <c r="F23" s="16">
        <v>0.0</v>
      </c>
      <c r="G23" s="16">
        <v>0.0</v>
      </c>
      <c r="H23" s="16">
        <v>1.0</v>
      </c>
      <c r="I23" s="16">
        <v>0.0</v>
      </c>
      <c r="J23" s="16">
        <v>0.0</v>
      </c>
      <c r="K23" s="16">
        <v>0.0</v>
      </c>
      <c r="L23" s="16">
        <v>0.0</v>
      </c>
      <c r="M23" s="16">
        <v>1.0</v>
      </c>
    </row>
    <row r="24" ht="13.5" customHeight="1">
      <c r="A24" s="16" t="s">
        <v>73</v>
      </c>
      <c r="B24" s="16">
        <f t="shared" si="2"/>
        <v>1</v>
      </c>
      <c r="C24" s="16">
        <f t="shared" si="3"/>
        <v>1</v>
      </c>
      <c r="D24" s="16">
        <v>0.0</v>
      </c>
      <c r="E24" s="16">
        <v>0.0</v>
      </c>
      <c r="F24" s="16">
        <v>0.0</v>
      </c>
      <c r="G24" s="16">
        <v>0.0</v>
      </c>
      <c r="H24" s="16">
        <v>1.0</v>
      </c>
      <c r="I24" s="16">
        <v>0.0</v>
      </c>
      <c r="J24" s="16">
        <v>0.0</v>
      </c>
      <c r="K24" s="16">
        <v>0.0</v>
      </c>
      <c r="L24" s="16">
        <v>0.0</v>
      </c>
      <c r="M24" s="16">
        <v>1.0</v>
      </c>
    </row>
    <row r="25" ht="13.5" customHeight="1">
      <c r="A25" s="16" t="s">
        <v>30</v>
      </c>
      <c r="B25" s="16">
        <f t="shared" si="2"/>
        <v>35</v>
      </c>
      <c r="C25" s="16">
        <f t="shared" si="3"/>
        <v>54</v>
      </c>
      <c r="D25" s="16">
        <v>16.0</v>
      </c>
      <c r="E25" s="16">
        <v>11.0</v>
      </c>
      <c r="F25" s="16">
        <v>5.0</v>
      </c>
      <c r="G25" s="16">
        <v>3.0</v>
      </c>
      <c r="H25" s="16">
        <v>0.0</v>
      </c>
      <c r="I25" s="16">
        <v>22.0</v>
      </c>
      <c r="J25" s="16">
        <v>20.0</v>
      </c>
      <c r="K25" s="16">
        <v>7.0</v>
      </c>
      <c r="L25" s="16">
        <v>5.0</v>
      </c>
      <c r="M25" s="16">
        <v>0.0</v>
      </c>
    </row>
    <row r="26" ht="13.5" customHeight="1">
      <c r="A26" s="16" t="s">
        <v>31</v>
      </c>
      <c r="B26" s="16">
        <f t="shared" si="2"/>
        <v>19</v>
      </c>
      <c r="C26" s="16">
        <f t="shared" si="3"/>
        <v>26</v>
      </c>
      <c r="D26" s="16">
        <v>12.0</v>
      </c>
      <c r="E26" s="16">
        <v>4.0</v>
      </c>
      <c r="F26" s="16">
        <v>2.0</v>
      </c>
      <c r="G26" s="16">
        <v>1.0</v>
      </c>
      <c r="H26" s="16">
        <v>0.0</v>
      </c>
      <c r="I26" s="16">
        <v>16.0</v>
      </c>
      <c r="J26" s="16">
        <v>5.0</v>
      </c>
      <c r="K26" s="16">
        <v>3.0</v>
      </c>
      <c r="L26" s="16">
        <v>2.0</v>
      </c>
      <c r="M26" s="16">
        <v>0.0</v>
      </c>
    </row>
    <row r="27" ht="13.5" customHeight="1">
      <c r="A27" s="16" t="s">
        <v>32</v>
      </c>
      <c r="B27" s="16">
        <f t="shared" si="2"/>
        <v>81</v>
      </c>
      <c r="C27" s="16">
        <f t="shared" si="3"/>
        <v>123</v>
      </c>
      <c r="D27" s="16">
        <v>41.0</v>
      </c>
      <c r="E27" s="16">
        <v>15.0</v>
      </c>
      <c r="F27" s="16">
        <v>12.0</v>
      </c>
      <c r="G27" s="16">
        <v>13.0</v>
      </c>
      <c r="H27" s="16">
        <v>0.0</v>
      </c>
      <c r="I27" s="16">
        <v>62.0</v>
      </c>
      <c r="J27" s="16">
        <v>24.0</v>
      </c>
      <c r="K27" s="16">
        <v>19.0</v>
      </c>
      <c r="L27" s="16">
        <v>18.0</v>
      </c>
      <c r="M27" s="16">
        <v>0.0</v>
      </c>
    </row>
    <row r="28" ht="13.5" customHeight="1">
      <c r="A28" s="16" t="s">
        <v>33</v>
      </c>
      <c r="B28" s="16">
        <f t="shared" si="2"/>
        <v>862</v>
      </c>
      <c r="C28" s="16">
        <f t="shared" si="3"/>
        <v>1276</v>
      </c>
      <c r="D28" s="16">
        <v>537.0</v>
      </c>
      <c r="E28" s="16">
        <v>215.0</v>
      </c>
      <c r="F28" s="16">
        <v>39.0</v>
      </c>
      <c r="G28" s="16">
        <v>71.0</v>
      </c>
      <c r="H28" s="16">
        <v>0.0</v>
      </c>
      <c r="I28" s="16">
        <v>800.0</v>
      </c>
      <c r="J28" s="16">
        <v>312.0</v>
      </c>
      <c r="K28" s="16">
        <v>61.0</v>
      </c>
      <c r="L28" s="16">
        <v>103.0</v>
      </c>
      <c r="M28" s="16">
        <v>0.0</v>
      </c>
    </row>
    <row r="29" ht="13.5" customHeight="1">
      <c r="A29" s="16" t="s">
        <v>34</v>
      </c>
      <c r="B29" s="16">
        <f t="shared" si="2"/>
        <v>1</v>
      </c>
      <c r="C29" s="16">
        <f t="shared" si="3"/>
        <v>1</v>
      </c>
      <c r="D29" s="16">
        <v>0.0</v>
      </c>
      <c r="E29" s="16">
        <v>1.0</v>
      </c>
      <c r="F29" s="16">
        <v>0.0</v>
      </c>
      <c r="G29" s="16">
        <v>0.0</v>
      </c>
      <c r="H29" s="16">
        <v>0.0</v>
      </c>
      <c r="I29" s="16">
        <v>0.0</v>
      </c>
      <c r="J29" s="16">
        <v>1.0</v>
      </c>
      <c r="K29" s="16">
        <v>0.0</v>
      </c>
      <c r="L29" s="16">
        <v>0.0</v>
      </c>
      <c r="M29" s="16">
        <v>0.0</v>
      </c>
    </row>
    <row r="30" ht="13.5" customHeight="1">
      <c r="A30" s="16" t="s">
        <v>35</v>
      </c>
      <c r="B30" s="16">
        <f t="shared" si="2"/>
        <v>397</v>
      </c>
      <c r="C30" s="16">
        <f t="shared" si="3"/>
        <v>589</v>
      </c>
      <c r="D30" s="16">
        <v>169.0</v>
      </c>
      <c r="E30" s="16">
        <v>140.0</v>
      </c>
      <c r="F30" s="16">
        <v>21.0</v>
      </c>
      <c r="G30" s="16">
        <v>67.0</v>
      </c>
      <c r="H30" s="16">
        <v>0.0</v>
      </c>
      <c r="I30" s="16">
        <v>246.0</v>
      </c>
      <c r="J30" s="16">
        <v>212.0</v>
      </c>
      <c r="K30" s="16">
        <v>36.0</v>
      </c>
      <c r="L30" s="16">
        <v>95.0</v>
      </c>
      <c r="M30" s="16">
        <v>0.0</v>
      </c>
    </row>
    <row r="31" ht="13.5" customHeight="1">
      <c r="A31" s="16" t="s">
        <v>36</v>
      </c>
      <c r="B31" s="16">
        <f t="shared" si="2"/>
        <v>48</v>
      </c>
      <c r="C31" s="16">
        <f t="shared" si="3"/>
        <v>55</v>
      </c>
      <c r="D31" s="16">
        <v>17.0</v>
      </c>
      <c r="E31" s="16">
        <v>14.0</v>
      </c>
      <c r="F31" s="16">
        <v>5.0</v>
      </c>
      <c r="G31" s="16">
        <v>12.0</v>
      </c>
      <c r="H31" s="16">
        <v>0.0</v>
      </c>
      <c r="I31" s="16">
        <v>21.0</v>
      </c>
      <c r="J31" s="16">
        <v>16.0</v>
      </c>
      <c r="K31" s="16">
        <v>5.0</v>
      </c>
      <c r="L31" s="16">
        <v>13.0</v>
      </c>
      <c r="M31" s="16">
        <v>0.0</v>
      </c>
    </row>
    <row r="32" ht="13.5" customHeight="1">
      <c r="A32" s="16" t="s">
        <v>37</v>
      </c>
      <c r="B32" s="16">
        <f t="shared" si="2"/>
        <v>189</v>
      </c>
      <c r="C32" s="16">
        <f t="shared" si="3"/>
        <v>283</v>
      </c>
      <c r="D32" s="16">
        <v>97.0</v>
      </c>
      <c r="E32" s="16">
        <v>65.0</v>
      </c>
      <c r="F32" s="16">
        <v>10.0</v>
      </c>
      <c r="G32" s="16">
        <v>17.0</v>
      </c>
      <c r="H32" s="16">
        <v>0.0</v>
      </c>
      <c r="I32" s="16">
        <v>142.0</v>
      </c>
      <c r="J32" s="16">
        <v>100.0</v>
      </c>
      <c r="K32" s="16">
        <v>14.0</v>
      </c>
      <c r="L32" s="16">
        <v>27.0</v>
      </c>
      <c r="M32" s="16">
        <v>0.0</v>
      </c>
    </row>
    <row r="33" ht="13.5" customHeight="1">
      <c r="A33" s="16" t="s">
        <v>38</v>
      </c>
      <c r="B33" s="16">
        <f t="shared" si="2"/>
        <v>28</v>
      </c>
      <c r="C33" s="16">
        <f t="shared" si="3"/>
        <v>67</v>
      </c>
      <c r="D33" s="16">
        <v>17.0</v>
      </c>
      <c r="E33" s="16">
        <v>9.0</v>
      </c>
      <c r="F33" s="16">
        <v>1.0</v>
      </c>
      <c r="G33" s="16">
        <v>1.0</v>
      </c>
      <c r="H33" s="16">
        <v>0.0</v>
      </c>
      <c r="I33" s="16">
        <v>50.0</v>
      </c>
      <c r="J33" s="16">
        <v>13.0</v>
      </c>
      <c r="K33" s="16">
        <v>1.0</v>
      </c>
      <c r="L33" s="16">
        <v>3.0</v>
      </c>
      <c r="M33" s="16">
        <v>0.0</v>
      </c>
    </row>
    <row r="34" ht="13.5" customHeight="1">
      <c r="A34" s="16" t="s">
        <v>39</v>
      </c>
      <c r="B34" s="16">
        <f t="shared" si="2"/>
        <v>99</v>
      </c>
      <c r="C34" s="16">
        <f t="shared" si="3"/>
        <v>99</v>
      </c>
      <c r="D34" s="16">
        <v>69.0</v>
      </c>
      <c r="E34" s="16">
        <v>30.0</v>
      </c>
      <c r="F34" s="16">
        <v>0.0</v>
      </c>
      <c r="G34" s="16">
        <v>0.0</v>
      </c>
      <c r="H34" s="16">
        <v>0.0</v>
      </c>
      <c r="I34" s="16">
        <v>69.0</v>
      </c>
      <c r="J34" s="16">
        <v>30.0</v>
      </c>
      <c r="K34" s="16">
        <v>0.0</v>
      </c>
      <c r="L34" s="16">
        <v>0.0</v>
      </c>
      <c r="M34" s="16">
        <v>0.0</v>
      </c>
    </row>
    <row r="35" ht="13.5" customHeight="1">
      <c r="A35" s="16" t="s">
        <v>40</v>
      </c>
      <c r="B35" s="16">
        <f t="shared" si="2"/>
        <v>100</v>
      </c>
      <c r="C35" s="16">
        <f t="shared" si="3"/>
        <v>100</v>
      </c>
      <c r="D35" s="16">
        <v>76.0</v>
      </c>
      <c r="E35" s="16">
        <v>24.0</v>
      </c>
      <c r="F35" s="16">
        <v>0.0</v>
      </c>
      <c r="G35" s="16">
        <v>0.0</v>
      </c>
      <c r="H35" s="16">
        <v>0.0</v>
      </c>
      <c r="I35" s="16">
        <v>76.0</v>
      </c>
      <c r="J35" s="16">
        <v>24.0</v>
      </c>
      <c r="K35" s="16">
        <v>0.0</v>
      </c>
      <c r="L35" s="16">
        <v>0.0</v>
      </c>
      <c r="M35" s="16">
        <v>0.0</v>
      </c>
    </row>
    <row r="36" ht="13.5" customHeight="1">
      <c r="A36" s="16" t="s">
        <v>41</v>
      </c>
      <c r="B36" s="16">
        <f t="shared" si="2"/>
        <v>100</v>
      </c>
      <c r="C36" s="16">
        <f t="shared" si="3"/>
        <v>100</v>
      </c>
      <c r="D36" s="16">
        <v>59.0</v>
      </c>
      <c r="E36" s="16">
        <v>37.0</v>
      </c>
      <c r="F36" s="16">
        <v>4.0</v>
      </c>
      <c r="G36" s="16">
        <v>0.0</v>
      </c>
      <c r="H36" s="16">
        <v>0.0</v>
      </c>
      <c r="I36" s="16">
        <v>59.0</v>
      </c>
      <c r="J36" s="16">
        <v>37.0</v>
      </c>
      <c r="K36" s="16">
        <v>4.0</v>
      </c>
      <c r="L36" s="16">
        <v>0.0</v>
      </c>
      <c r="M36" s="16">
        <v>0.0</v>
      </c>
    </row>
    <row r="37" ht="13.5" customHeight="1">
      <c r="A37" s="16" t="s">
        <v>42</v>
      </c>
      <c r="B37" s="16">
        <f t="shared" si="2"/>
        <v>33</v>
      </c>
      <c r="C37" s="16">
        <f t="shared" si="3"/>
        <v>56</v>
      </c>
      <c r="D37" s="16">
        <v>23.0</v>
      </c>
      <c r="E37" s="16">
        <v>5.0</v>
      </c>
      <c r="F37" s="16">
        <v>0.0</v>
      </c>
      <c r="G37" s="16">
        <v>5.0</v>
      </c>
      <c r="H37" s="16">
        <v>0.0</v>
      </c>
      <c r="I37" s="16">
        <v>39.0</v>
      </c>
      <c r="J37" s="16">
        <v>10.0</v>
      </c>
      <c r="K37" s="16">
        <v>0.0</v>
      </c>
      <c r="L37" s="16">
        <v>7.0</v>
      </c>
      <c r="M37" s="16">
        <v>0.0</v>
      </c>
    </row>
    <row r="38" ht="13.5" customHeight="1">
      <c r="A38" s="16" t="s">
        <v>43</v>
      </c>
      <c r="B38" s="16">
        <f t="shared" si="2"/>
        <v>115</v>
      </c>
      <c r="C38" s="16">
        <f t="shared" si="3"/>
        <v>207</v>
      </c>
      <c r="D38" s="16">
        <v>28.0</v>
      </c>
      <c r="E38" s="16">
        <v>46.0</v>
      </c>
      <c r="F38" s="16">
        <v>25.0</v>
      </c>
      <c r="G38" s="16">
        <v>16.0</v>
      </c>
      <c r="H38" s="16">
        <v>0.0</v>
      </c>
      <c r="I38" s="16">
        <v>46.0</v>
      </c>
      <c r="J38" s="16">
        <v>92.0</v>
      </c>
      <c r="K38" s="16">
        <v>48.0</v>
      </c>
      <c r="L38" s="16">
        <v>21.0</v>
      </c>
      <c r="M38" s="16">
        <v>0.0</v>
      </c>
    </row>
    <row r="39" ht="13.5" customHeight="1">
      <c r="A39" s="16" t="s">
        <v>44</v>
      </c>
      <c r="B39" s="16">
        <f t="shared" si="2"/>
        <v>6</v>
      </c>
      <c r="C39" s="16">
        <f t="shared" si="3"/>
        <v>9</v>
      </c>
      <c r="D39" s="16">
        <v>4.0</v>
      </c>
      <c r="E39" s="16">
        <v>2.0</v>
      </c>
      <c r="F39" s="16">
        <v>0.0</v>
      </c>
      <c r="G39" s="16">
        <v>0.0</v>
      </c>
      <c r="H39" s="16">
        <v>0.0</v>
      </c>
      <c r="I39" s="16">
        <v>6.0</v>
      </c>
      <c r="J39" s="16">
        <v>3.0</v>
      </c>
      <c r="K39" s="16">
        <v>0.0</v>
      </c>
      <c r="L39" s="16">
        <v>0.0</v>
      </c>
      <c r="M39" s="16">
        <v>0.0</v>
      </c>
    </row>
    <row r="40" ht="13.5" customHeight="1">
      <c r="A40" s="16" t="s">
        <v>45</v>
      </c>
      <c r="B40" s="16">
        <f t="shared" si="2"/>
        <v>20</v>
      </c>
      <c r="C40" s="16">
        <f t="shared" si="3"/>
        <v>30</v>
      </c>
      <c r="D40" s="16">
        <v>7.0</v>
      </c>
      <c r="E40" s="16">
        <v>7.0</v>
      </c>
      <c r="F40" s="16">
        <v>4.0</v>
      </c>
      <c r="G40" s="16">
        <v>2.0</v>
      </c>
      <c r="H40" s="16">
        <v>0.0</v>
      </c>
      <c r="I40" s="16">
        <v>13.0</v>
      </c>
      <c r="J40" s="16">
        <v>10.0</v>
      </c>
      <c r="K40" s="16">
        <v>4.0</v>
      </c>
      <c r="L40" s="16">
        <v>3.0</v>
      </c>
      <c r="M40" s="16">
        <v>0.0</v>
      </c>
    </row>
    <row r="41" ht="13.5" customHeight="1">
      <c r="A41" s="16" t="s">
        <v>46</v>
      </c>
      <c r="B41" s="16">
        <f t="shared" si="2"/>
        <v>39</v>
      </c>
      <c r="C41" s="16">
        <f t="shared" si="3"/>
        <v>68</v>
      </c>
      <c r="D41" s="16">
        <v>23.0</v>
      </c>
      <c r="E41" s="16">
        <v>9.0</v>
      </c>
      <c r="F41" s="16">
        <v>2.0</v>
      </c>
      <c r="G41" s="16">
        <v>5.0</v>
      </c>
      <c r="H41" s="16">
        <v>0.0</v>
      </c>
      <c r="I41" s="16">
        <v>38.0</v>
      </c>
      <c r="J41" s="16">
        <v>17.0</v>
      </c>
      <c r="K41" s="16">
        <v>4.0</v>
      </c>
      <c r="L41" s="16">
        <v>9.0</v>
      </c>
      <c r="M41" s="16">
        <v>0.0</v>
      </c>
    </row>
    <row r="42" ht="13.5" customHeight="1">
      <c r="A42" s="17">
        <v>3753.0</v>
      </c>
      <c r="B42" s="18">
        <f t="shared" si="2"/>
        <v>1630</v>
      </c>
      <c r="C42" s="18">
        <f t="shared" si="3"/>
        <v>2015</v>
      </c>
      <c r="D42" s="18">
        <f t="shared" ref="D42:M42" si="4">SUM(D43:D51)</f>
        <v>893</v>
      </c>
      <c r="E42" s="18">
        <f t="shared" si="4"/>
        <v>481</v>
      </c>
      <c r="F42" s="18">
        <f t="shared" si="4"/>
        <v>93</v>
      </c>
      <c r="G42" s="18">
        <f t="shared" si="4"/>
        <v>163</v>
      </c>
      <c r="H42" s="18">
        <f t="shared" si="4"/>
        <v>0</v>
      </c>
      <c r="I42" s="18">
        <f t="shared" si="4"/>
        <v>1113</v>
      </c>
      <c r="J42" s="18">
        <f t="shared" si="4"/>
        <v>578</v>
      </c>
      <c r="K42" s="18">
        <f t="shared" si="4"/>
        <v>113</v>
      </c>
      <c r="L42" s="18">
        <f t="shared" si="4"/>
        <v>211</v>
      </c>
      <c r="M42" s="18">
        <f t="shared" si="4"/>
        <v>0</v>
      </c>
    </row>
    <row r="43" ht="13.5" customHeight="1">
      <c r="A43" s="16" t="s">
        <v>74</v>
      </c>
      <c r="B43" s="19">
        <f t="shared" si="2"/>
        <v>20</v>
      </c>
      <c r="C43" s="19">
        <f t="shared" si="3"/>
        <v>26</v>
      </c>
      <c r="D43" s="16">
        <v>8.0</v>
      </c>
      <c r="E43" s="16">
        <v>8.0</v>
      </c>
      <c r="F43" s="16">
        <v>2.0</v>
      </c>
      <c r="G43" s="16">
        <v>2.0</v>
      </c>
      <c r="H43" s="16">
        <v>0.0</v>
      </c>
      <c r="I43" s="16">
        <v>12.0</v>
      </c>
      <c r="J43" s="16">
        <v>10.0</v>
      </c>
      <c r="K43" s="16">
        <v>2.0</v>
      </c>
      <c r="L43" s="16">
        <v>2.0</v>
      </c>
      <c r="M43" s="16">
        <v>0.0</v>
      </c>
      <c r="N43" s="15"/>
      <c r="O43" s="15"/>
      <c r="P43" s="15"/>
      <c r="Q43" s="15"/>
      <c r="R43" s="15"/>
      <c r="S43" s="15"/>
      <c r="T43" s="15"/>
    </row>
    <row r="44" ht="13.5" customHeight="1">
      <c r="A44" s="16" t="s">
        <v>47</v>
      </c>
      <c r="B44" s="19">
        <f t="shared" si="2"/>
        <v>118</v>
      </c>
      <c r="C44" s="19">
        <f t="shared" si="3"/>
        <v>174</v>
      </c>
      <c r="D44" s="16">
        <v>67.0</v>
      </c>
      <c r="E44" s="16">
        <v>28.0</v>
      </c>
      <c r="F44" s="16">
        <v>8.0</v>
      </c>
      <c r="G44" s="16">
        <v>15.0</v>
      </c>
      <c r="H44" s="16">
        <v>0.0</v>
      </c>
      <c r="I44" s="16">
        <v>104.0</v>
      </c>
      <c r="J44" s="16">
        <v>41.0</v>
      </c>
      <c r="K44" s="16">
        <v>12.0</v>
      </c>
      <c r="L44" s="16">
        <v>17.0</v>
      </c>
      <c r="M44" s="16">
        <v>0.0</v>
      </c>
    </row>
    <row r="45" ht="13.5" customHeight="1">
      <c r="A45" s="16" t="s">
        <v>48</v>
      </c>
      <c r="B45" s="19">
        <f t="shared" si="2"/>
        <v>100</v>
      </c>
      <c r="C45" s="19">
        <f t="shared" si="3"/>
        <v>100</v>
      </c>
      <c r="D45" s="16">
        <v>68.0</v>
      </c>
      <c r="E45" s="16">
        <v>30.0</v>
      </c>
      <c r="F45" s="16">
        <v>2.0</v>
      </c>
      <c r="G45" s="16">
        <v>0.0</v>
      </c>
      <c r="H45" s="16">
        <v>0.0</v>
      </c>
      <c r="I45" s="16">
        <v>68.0</v>
      </c>
      <c r="J45" s="16">
        <v>30.0</v>
      </c>
      <c r="K45" s="16">
        <v>2.0</v>
      </c>
      <c r="L45" s="16">
        <v>0.0</v>
      </c>
      <c r="M45" s="16">
        <v>0.0</v>
      </c>
    </row>
    <row r="46" ht="13.5" customHeight="1">
      <c r="A46" s="16" t="s">
        <v>49</v>
      </c>
      <c r="B46" s="19">
        <f t="shared" si="2"/>
        <v>68</v>
      </c>
      <c r="C46" s="19">
        <f t="shared" si="3"/>
        <v>100</v>
      </c>
      <c r="D46" s="16">
        <v>31.0</v>
      </c>
      <c r="E46" s="16">
        <v>21.0</v>
      </c>
      <c r="F46" s="16">
        <v>12.0</v>
      </c>
      <c r="G46" s="16">
        <v>4.0</v>
      </c>
      <c r="H46" s="16">
        <v>0.0</v>
      </c>
      <c r="I46" s="16">
        <v>48.0</v>
      </c>
      <c r="J46" s="16">
        <v>33.0</v>
      </c>
      <c r="K46" s="16">
        <v>14.0</v>
      </c>
      <c r="L46" s="16">
        <v>5.0</v>
      </c>
      <c r="M46" s="16">
        <v>0.0</v>
      </c>
    </row>
    <row r="47" ht="13.5" customHeight="1">
      <c r="A47" s="16" t="s">
        <v>50</v>
      </c>
      <c r="B47" s="19">
        <f t="shared" si="2"/>
        <v>165</v>
      </c>
      <c r="C47" s="19">
        <f t="shared" si="3"/>
        <v>236</v>
      </c>
      <c r="D47" s="16">
        <v>90.0</v>
      </c>
      <c r="E47" s="16">
        <v>49.0</v>
      </c>
      <c r="F47" s="16">
        <v>6.0</v>
      </c>
      <c r="G47" s="16">
        <v>20.0</v>
      </c>
      <c r="H47" s="16">
        <v>0.0</v>
      </c>
      <c r="I47" s="16">
        <v>130.0</v>
      </c>
      <c r="J47" s="16">
        <v>71.0</v>
      </c>
      <c r="K47" s="16">
        <v>8.0</v>
      </c>
      <c r="L47" s="16">
        <v>27.0</v>
      </c>
      <c r="M47" s="16">
        <v>0.0</v>
      </c>
    </row>
    <row r="48" ht="13.5" customHeight="1">
      <c r="A48" s="16" t="s">
        <v>51</v>
      </c>
      <c r="B48" s="19">
        <f t="shared" si="2"/>
        <v>488</v>
      </c>
      <c r="C48" s="19">
        <f t="shared" si="3"/>
        <v>502</v>
      </c>
      <c r="D48" s="16">
        <v>274.0</v>
      </c>
      <c r="E48" s="16">
        <v>151.0</v>
      </c>
      <c r="F48" s="16">
        <v>29.0</v>
      </c>
      <c r="G48" s="16">
        <v>34.0</v>
      </c>
      <c r="H48" s="16">
        <v>0.0</v>
      </c>
      <c r="I48" s="16">
        <v>282.0</v>
      </c>
      <c r="J48" s="16">
        <v>156.0</v>
      </c>
      <c r="K48" s="16">
        <v>29.0</v>
      </c>
      <c r="L48" s="16">
        <v>35.0</v>
      </c>
      <c r="M48" s="16">
        <v>0.0</v>
      </c>
    </row>
    <row r="49" ht="13.5" customHeight="1">
      <c r="A49" s="16" t="s">
        <v>52</v>
      </c>
      <c r="B49" s="19">
        <f t="shared" si="2"/>
        <v>181</v>
      </c>
      <c r="C49" s="19">
        <f t="shared" si="3"/>
        <v>183</v>
      </c>
      <c r="D49" s="16">
        <v>80.0</v>
      </c>
      <c r="E49" s="16">
        <v>73.0</v>
      </c>
      <c r="F49" s="16">
        <v>14.0</v>
      </c>
      <c r="G49" s="16">
        <v>14.0</v>
      </c>
      <c r="H49" s="16">
        <v>0.0</v>
      </c>
      <c r="I49" s="16">
        <v>81.0</v>
      </c>
      <c r="J49" s="16">
        <v>74.0</v>
      </c>
      <c r="K49" s="16">
        <v>14.0</v>
      </c>
      <c r="L49" s="16">
        <v>14.0</v>
      </c>
      <c r="M49" s="16">
        <v>0.0</v>
      </c>
    </row>
    <row r="50" ht="13.5" customHeight="1">
      <c r="A50" s="16" t="s">
        <v>53</v>
      </c>
      <c r="B50" s="19">
        <f t="shared" si="2"/>
        <v>101</v>
      </c>
      <c r="C50" s="19">
        <f t="shared" si="3"/>
        <v>101</v>
      </c>
      <c r="D50" s="16">
        <v>62.0</v>
      </c>
      <c r="E50" s="16">
        <v>33.0</v>
      </c>
      <c r="F50" s="16">
        <v>6.0</v>
      </c>
      <c r="G50" s="16">
        <v>0.0</v>
      </c>
      <c r="H50" s="16">
        <v>0.0</v>
      </c>
      <c r="I50" s="16">
        <v>62.0</v>
      </c>
      <c r="J50" s="16">
        <v>33.0</v>
      </c>
      <c r="K50" s="16">
        <v>6.0</v>
      </c>
      <c r="L50" s="16">
        <v>0.0</v>
      </c>
      <c r="M50" s="16">
        <v>0.0</v>
      </c>
    </row>
    <row r="51" ht="13.5" customHeight="1">
      <c r="A51" s="16" t="s">
        <v>54</v>
      </c>
      <c r="B51" s="19">
        <f t="shared" si="2"/>
        <v>389</v>
      </c>
      <c r="C51" s="19">
        <f t="shared" si="3"/>
        <v>593</v>
      </c>
      <c r="D51" s="16">
        <v>213.0</v>
      </c>
      <c r="E51" s="16">
        <v>88.0</v>
      </c>
      <c r="F51" s="16">
        <v>14.0</v>
      </c>
      <c r="G51" s="16">
        <v>74.0</v>
      </c>
      <c r="H51" s="16">
        <v>0.0</v>
      </c>
      <c r="I51" s="16">
        <v>326.0</v>
      </c>
      <c r="J51" s="16">
        <v>130.0</v>
      </c>
      <c r="K51" s="16">
        <v>26.0</v>
      </c>
      <c r="L51" s="16">
        <v>111.0</v>
      </c>
      <c r="M51" s="16">
        <v>0.0</v>
      </c>
    </row>
    <row r="52" ht="13.5" customHeight="1">
      <c r="A52" s="17">
        <v>3754.0</v>
      </c>
      <c r="B52" s="18">
        <f t="shared" si="2"/>
        <v>264</v>
      </c>
      <c r="C52" s="18">
        <f t="shared" si="3"/>
        <v>409</v>
      </c>
      <c r="D52" s="18">
        <f t="shared" ref="D52:M52" si="5">SUM(D53:D57)</f>
        <v>157</v>
      </c>
      <c r="E52" s="18">
        <f t="shared" si="5"/>
        <v>60</v>
      </c>
      <c r="F52" s="18">
        <f t="shared" si="5"/>
        <v>10</v>
      </c>
      <c r="G52" s="18">
        <f t="shared" si="5"/>
        <v>37</v>
      </c>
      <c r="H52" s="18">
        <f t="shared" si="5"/>
        <v>0</v>
      </c>
      <c r="I52" s="18">
        <f t="shared" si="5"/>
        <v>231</v>
      </c>
      <c r="J52" s="18">
        <f t="shared" si="5"/>
        <v>99</v>
      </c>
      <c r="K52" s="18">
        <f t="shared" si="5"/>
        <v>17</v>
      </c>
      <c r="L52" s="18">
        <f t="shared" si="5"/>
        <v>62</v>
      </c>
      <c r="M52" s="18">
        <f t="shared" si="5"/>
        <v>0</v>
      </c>
    </row>
    <row r="53" ht="13.5" customHeight="1">
      <c r="A53" s="16" t="s">
        <v>75</v>
      </c>
      <c r="B53" s="19">
        <f t="shared" si="2"/>
        <v>19</v>
      </c>
      <c r="C53" s="19">
        <f t="shared" si="3"/>
        <v>41</v>
      </c>
      <c r="D53" s="16">
        <v>11.0</v>
      </c>
      <c r="E53" s="16">
        <v>6.0</v>
      </c>
      <c r="F53" s="16">
        <v>0.0</v>
      </c>
      <c r="G53" s="16">
        <v>2.0</v>
      </c>
      <c r="H53" s="16">
        <v>0.0</v>
      </c>
      <c r="I53" s="16">
        <v>23.0</v>
      </c>
      <c r="J53" s="16">
        <v>14.0</v>
      </c>
      <c r="K53" s="16">
        <v>0.0</v>
      </c>
      <c r="L53" s="16">
        <v>4.0</v>
      </c>
      <c r="M53" s="16">
        <v>0.0</v>
      </c>
      <c r="N53" s="15"/>
      <c r="O53" s="15"/>
      <c r="P53" s="15"/>
      <c r="Q53" s="15"/>
      <c r="R53" s="15"/>
      <c r="S53" s="15"/>
      <c r="T53" s="15"/>
    </row>
    <row r="54" ht="13.5" customHeight="1">
      <c r="A54" s="16" t="s">
        <v>55</v>
      </c>
      <c r="B54" s="19">
        <f t="shared" si="2"/>
        <v>10</v>
      </c>
      <c r="C54" s="19">
        <f t="shared" si="3"/>
        <v>15</v>
      </c>
      <c r="D54" s="16">
        <v>6.0</v>
      </c>
      <c r="E54" s="16">
        <v>2.0</v>
      </c>
      <c r="F54" s="16">
        <v>0.0</v>
      </c>
      <c r="G54" s="16">
        <v>2.0</v>
      </c>
      <c r="H54" s="16">
        <v>0.0</v>
      </c>
      <c r="I54" s="16">
        <v>8.0</v>
      </c>
      <c r="J54" s="16">
        <v>4.0</v>
      </c>
      <c r="K54" s="16">
        <v>0.0</v>
      </c>
      <c r="L54" s="16">
        <v>3.0</v>
      </c>
      <c r="M54" s="16">
        <v>0.0</v>
      </c>
    </row>
    <row r="55" ht="13.5" customHeight="1">
      <c r="A55" s="16" t="s">
        <v>56</v>
      </c>
      <c r="B55" s="19">
        <f t="shared" si="2"/>
        <v>53</v>
      </c>
      <c r="C55" s="19">
        <f t="shared" si="3"/>
        <v>53</v>
      </c>
      <c r="D55" s="16">
        <v>40.0</v>
      </c>
      <c r="E55" s="16">
        <v>13.0</v>
      </c>
      <c r="F55" s="16">
        <v>0.0</v>
      </c>
      <c r="G55" s="16">
        <v>0.0</v>
      </c>
      <c r="H55" s="16">
        <v>0.0</v>
      </c>
      <c r="I55" s="16">
        <v>40.0</v>
      </c>
      <c r="J55" s="16">
        <v>13.0</v>
      </c>
      <c r="K55" s="16">
        <v>0.0</v>
      </c>
      <c r="L55" s="16">
        <v>0.0</v>
      </c>
      <c r="M55" s="16">
        <v>0.0</v>
      </c>
    </row>
    <row r="56" ht="13.5" customHeight="1">
      <c r="A56" s="16" t="s">
        <v>57</v>
      </c>
      <c r="B56" s="19">
        <f t="shared" si="2"/>
        <v>140</v>
      </c>
      <c r="C56" s="19">
        <f t="shared" si="3"/>
        <v>236</v>
      </c>
      <c r="D56" s="16">
        <v>76.0</v>
      </c>
      <c r="E56" s="16">
        <v>25.0</v>
      </c>
      <c r="F56" s="16">
        <v>7.0</v>
      </c>
      <c r="G56" s="16">
        <v>32.0</v>
      </c>
      <c r="H56" s="16">
        <v>0.0</v>
      </c>
      <c r="I56" s="16">
        <v>127.0</v>
      </c>
      <c r="J56" s="16">
        <v>44.0</v>
      </c>
      <c r="K56" s="16">
        <v>12.0</v>
      </c>
      <c r="L56" s="16">
        <v>53.0</v>
      </c>
      <c r="M56" s="16">
        <v>0.0</v>
      </c>
    </row>
    <row r="57" ht="13.5" customHeight="1">
      <c r="A57" s="16" t="s">
        <v>58</v>
      </c>
      <c r="B57" s="19">
        <f t="shared" si="2"/>
        <v>42</v>
      </c>
      <c r="C57" s="19">
        <f t="shared" si="3"/>
        <v>64</v>
      </c>
      <c r="D57" s="16">
        <v>24.0</v>
      </c>
      <c r="E57" s="16">
        <v>14.0</v>
      </c>
      <c r="F57" s="16">
        <v>3.0</v>
      </c>
      <c r="G57" s="16">
        <v>1.0</v>
      </c>
      <c r="H57" s="16">
        <v>0.0</v>
      </c>
      <c r="I57" s="16">
        <v>33.0</v>
      </c>
      <c r="J57" s="16">
        <v>24.0</v>
      </c>
      <c r="K57" s="16">
        <v>5.0</v>
      </c>
      <c r="L57" s="16">
        <v>2.0</v>
      </c>
      <c r="M57" s="16">
        <v>0.0</v>
      </c>
    </row>
    <row r="58" ht="13.5" customHeight="1">
      <c r="A58" s="17">
        <v>3755.0</v>
      </c>
      <c r="B58" s="18">
        <f t="shared" si="2"/>
        <v>110</v>
      </c>
      <c r="C58" s="18">
        <f t="shared" si="3"/>
        <v>157</v>
      </c>
      <c r="D58" s="14">
        <f t="shared" ref="D58:M58" si="6">SUM(D59:D61)</f>
        <v>37</v>
      </c>
      <c r="E58" s="14">
        <f t="shared" si="6"/>
        <v>28</v>
      </c>
      <c r="F58" s="14">
        <f t="shared" si="6"/>
        <v>11</v>
      </c>
      <c r="G58" s="14">
        <f t="shared" si="6"/>
        <v>34</v>
      </c>
      <c r="H58" s="14">
        <f t="shared" si="6"/>
        <v>0</v>
      </c>
      <c r="I58" s="14">
        <f t="shared" si="6"/>
        <v>54</v>
      </c>
      <c r="J58" s="14">
        <f t="shared" si="6"/>
        <v>42</v>
      </c>
      <c r="K58" s="14">
        <f t="shared" si="6"/>
        <v>18</v>
      </c>
      <c r="L58" s="14">
        <f t="shared" si="6"/>
        <v>43</v>
      </c>
      <c r="M58" s="14">
        <f t="shared" si="6"/>
        <v>0</v>
      </c>
    </row>
    <row r="59" ht="13.5" customHeight="1">
      <c r="A59" s="16" t="s">
        <v>76</v>
      </c>
      <c r="B59" s="19">
        <f t="shared" si="2"/>
        <v>12</v>
      </c>
      <c r="C59" s="19">
        <f t="shared" si="3"/>
        <v>14</v>
      </c>
      <c r="D59" s="16">
        <v>1.0</v>
      </c>
      <c r="E59" s="16">
        <v>3.0</v>
      </c>
      <c r="F59" s="16">
        <v>4.0</v>
      </c>
      <c r="G59" s="16">
        <v>4.0</v>
      </c>
      <c r="H59" s="16">
        <v>0.0</v>
      </c>
      <c r="I59" s="16">
        <v>2.0</v>
      </c>
      <c r="J59" s="16">
        <v>3.0</v>
      </c>
      <c r="K59" s="16">
        <v>5.0</v>
      </c>
      <c r="L59" s="16">
        <v>4.0</v>
      </c>
      <c r="M59" s="16">
        <v>0.0</v>
      </c>
    </row>
    <row r="60" ht="13.5" customHeight="1">
      <c r="A60" s="16" t="s">
        <v>59</v>
      </c>
      <c r="B60" s="19">
        <f t="shared" si="2"/>
        <v>33</v>
      </c>
      <c r="C60" s="19">
        <f t="shared" si="3"/>
        <v>47</v>
      </c>
      <c r="D60" s="16">
        <v>15.0</v>
      </c>
      <c r="E60" s="16">
        <v>5.0</v>
      </c>
      <c r="F60" s="16">
        <v>1.0</v>
      </c>
      <c r="G60" s="16">
        <v>12.0</v>
      </c>
      <c r="H60" s="16">
        <v>0.0</v>
      </c>
      <c r="I60" s="16">
        <v>21.0</v>
      </c>
      <c r="J60" s="16">
        <v>8.0</v>
      </c>
      <c r="K60" s="16">
        <v>2.0</v>
      </c>
      <c r="L60" s="16">
        <v>16.0</v>
      </c>
      <c r="M60" s="16">
        <v>0.0</v>
      </c>
    </row>
    <row r="61" ht="13.5" customHeight="1">
      <c r="A61" s="16" t="s">
        <v>60</v>
      </c>
      <c r="B61" s="19">
        <f t="shared" si="2"/>
        <v>65</v>
      </c>
      <c r="C61" s="19">
        <f t="shared" si="3"/>
        <v>96</v>
      </c>
      <c r="D61" s="16">
        <v>21.0</v>
      </c>
      <c r="E61" s="16">
        <v>20.0</v>
      </c>
      <c r="F61" s="16">
        <v>6.0</v>
      </c>
      <c r="G61" s="16">
        <v>18.0</v>
      </c>
      <c r="H61" s="16">
        <v>0.0</v>
      </c>
      <c r="I61" s="16">
        <v>31.0</v>
      </c>
      <c r="J61" s="16">
        <v>31.0</v>
      </c>
      <c r="K61" s="16">
        <v>11.0</v>
      </c>
      <c r="L61" s="16">
        <v>23.0</v>
      </c>
      <c r="M61" s="16">
        <v>0.0</v>
      </c>
    </row>
    <row r="62" ht="13.5" customHeight="1">
      <c r="A62" s="20" t="s">
        <v>61</v>
      </c>
      <c r="B62" s="20">
        <f t="shared" ref="B62:C62" si="7">B4+B42+B52+B58</f>
        <v>6560</v>
      </c>
      <c r="C62" s="20">
        <f t="shared" si="7"/>
        <v>9410</v>
      </c>
      <c r="D62" s="20">
        <f t="shared" ref="D62:M62" si="8">D4+D42+D52</f>
        <v>3614</v>
      </c>
      <c r="E62" s="20">
        <f t="shared" si="8"/>
        <v>1799</v>
      </c>
      <c r="F62" s="20">
        <f t="shared" si="8"/>
        <v>365</v>
      </c>
      <c r="G62" s="20">
        <f t="shared" si="8"/>
        <v>670</v>
      </c>
      <c r="H62" s="20">
        <f t="shared" si="8"/>
        <v>2</v>
      </c>
      <c r="I62" s="20">
        <f t="shared" si="8"/>
        <v>5176</v>
      </c>
      <c r="J62" s="20">
        <f t="shared" si="8"/>
        <v>2589</v>
      </c>
      <c r="K62" s="20">
        <f t="shared" si="8"/>
        <v>537</v>
      </c>
      <c r="L62" s="20">
        <f t="shared" si="8"/>
        <v>949</v>
      </c>
      <c r="M62" s="20">
        <f t="shared" si="8"/>
        <v>2</v>
      </c>
    </row>
    <row r="63" ht="13.5" customHeight="1"/>
    <row r="64" ht="13.5" customHeight="1">
      <c r="A64" s="21" t="s">
        <v>62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3"/>
    </row>
    <row r="65" ht="13.5" customHeight="1">
      <c r="A65" s="24" t="s">
        <v>63</v>
      </c>
      <c r="B65" s="25" t="s">
        <v>8</v>
      </c>
      <c r="C65" s="23"/>
      <c r="D65" s="25" t="s">
        <v>9</v>
      </c>
      <c r="E65" s="23"/>
      <c r="F65" s="25" t="s">
        <v>10</v>
      </c>
      <c r="G65" s="23"/>
      <c r="H65" s="25" t="s">
        <v>11</v>
      </c>
      <c r="I65" s="23"/>
      <c r="J65" s="25" t="s">
        <v>12</v>
      </c>
      <c r="K65" s="23"/>
      <c r="L65" s="26" t="s">
        <v>64</v>
      </c>
      <c r="M65" s="26" t="s">
        <v>65</v>
      </c>
    </row>
    <row r="66" ht="13.5" customHeight="1">
      <c r="A66" s="27"/>
      <c r="B66" s="26" t="s">
        <v>66</v>
      </c>
      <c r="C66" s="26" t="s">
        <v>7</v>
      </c>
      <c r="D66" s="26" t="s">
        <v>66</v>
      </c>
      <c r="E66" s="26" t="s">
        <v>7</v>
      </c>
      <c r="F66" s="26" t="s">
        <v>66</v>
      </c>
      <c r="G66" s="26" t="s">
        <v>7</v>
      </c>
      <c r="H66" s="26" t="s">
        <v>66</v>
      </c>
      <c r="I66" s="26" t="s">
        <v>7</v>
      </c>
      <c r="J66" s="26" t="s">
        <v>66</v>
      </c>
      <c r="K66" s="26" t="s">
        <v>7</v>
      </c>
      <c r="L66" s="26" t="s">
        <v>66</v>
      </c>
      <c r="M66" s="26" t="s">
        <v>7</v>
      </c>
    </row>
    <row r="67" ht="13.5" customHeight="1">
      <c r="A67" s="29" t="s">
        <v>77</v>
      </c>
      <c r="B67" s="29">
        <v>20.0</v>
      </c>
      <c r="C67" s="29">
        <v>37.0</v>
      </c>
      <c r="D67" s="29">
        <v>17.0</v>
      </c>
      <c r="E67" s="29">
        <v>27.0</v>
      </c>
      <c r="F67" s="29">
        <v>6.0</v>
      </c>
      <c r="G67" s="29">
        <v>7.0</v>
      </c>
      <c r="H67" s="29">
        <v>8.0</v>
      </c>
      <c r="I67" s="29">
        <v>10.0</v>
      </c>
      <c r="J67" s="29">
        <v>0.0</v>
      </c>
      <c r="K67" s="29">
        <v>0.0</v>
      </c>
      <c r="L67" s="29">
        <f t="shared" ref="L67:M67" si="9">SUM(B67+D67+F67+H67)</f>
        <v>51</v>
      </c>
      <c r="M67" s="29">
        <f t="shared" si="9"/>
        <v>81</v>
      </c>
    </row>
    <row r="68" ht="13.5" customHeight="1">
      <c r="A68" s="29" t="s">
        <v>67</v>
      </c>
      <c r="B68" s="29">
        <v>2934.0</v>
      </c>
      <c r="C68" s="29">
        <v>4650.0</v>
      </c>
      <c r="D68" s="29">
        <v>1471.0</v>
      </c>
      <c r="E68" s="29">
        <v>2351.0</v>
      </c>
      <c r="F68" s="29">
        <v>339.0</v>
      </c>
      <c r="G68" s="29">
        <v>537.0</v>
      </c>
      <c r="H68" s="29">
        <v>647.0</v>
      </c>
      <c r="I68" s="29">
        <v>963.0</v>
      </c>
      <c r="J68" s="29">
        <v>0.0</v>
      </c>
      <c r="K68" s="29">
        <v>0.0</v>
      </c>
      <c r="L68" s="29">
        <f t="shared" ref="L68:M68" si="10">SUM(B68+D68+F68+H68)</f>
        <v>5391</v>
      </c>
      <c r="M68" s="29">
        <f t="shared" si="10"/>
        <v>8501</v>
      </c>
    </row>
    <row r="69" ht="13.5" customHeight="1">
      <c r="A69" s="29" t="s">
        <v>78</v>
      </c>
      <c r="B69" s="29">
        <v>0.0</v>
      </c>
      <c r="C69" s="29">
        <v>0.0</v>
      </c>
      <c r="D69" s="29">
        <v>0.0</v>
      </c>
      <c r="E69" s="29">
        <v>0.0</v>
      </c>
      <c r="F69" s="29">
        <v>0.0</v>
      </c>
      <c r="G69" s="29">
        <v>0.0</v>
      </c>
      <c r="H69" s="29">
        <v>1.0</v>
      </c>
      <c r="I69" s="29">
        <v>1.0</v>
      </c>
      <c r="J69" s="29">
        <v>1.0</v>
      </c>
      <c r="K69" s="29">
        <v>2.0</v>
      </c>
      <c r="L69" s="29">
        <f>SUM(B69+D69+F69+H69+H69)</f>
        <v>2</v>
      </c>
      <c r="M69" s="29">
        <f>SUM(C69+E69+G69+I69+K69)</f>
        <v>3</v>
      </c>
    </row>
    <row r="70" ht="13.5" customHeight="1">
      <c r="A70" s="29" t="s">
        <v>68</v>
      </c>
      <c r="B70" s="29">
        <v>501.0</v>
      </c>
      <c r="C70" s="29">
        <v>548.0</v>
      </c>
      <c r="D70" s="29">
        <v>235.0</v>
      </c>
      <c r="E70" s="29">
        <v>243.0</v>
      </c>
      <c r="F70" s="29">
        <v>22.0</v>
      </c>
      <c r="G70" s="29">
        <v>22.0</v>
      </c>
      <c r="H70" s="29">
        <v>5.0</v>
      </c>
      <c r="I70" s="29">
        <v>12.0</v>
      </c>
      <c r="J70" s="29">
        <v>0.0</v>
      </c>
      <c r="K70" s="29">
        <v>0.0</v>
      </c>
      <c r="L70" s="29">
        <f t="shared" ref="L70:M70" si="11">SUM(B70+D70+F70+H70)</f>
        <v>763</v>
      </c>
      <c r="M70" s="29">
        <f t="shared" si="11"/>
        <v>825</v>
      </c>
    </row>
    <row r="71" ht="13.5" customHeight="1">
      <c r="A71" s="30" t="s">
        <v>69</v>
      </c>
      <c r="B71" s="30">
        <f t="shared" ref="B71:M71" si="12">SUM(B67:B70)</f>
        <v>3455</v>
      </c>
      <c r="C71" s="30">
        <f t="shared" si="12"/>
        <v>5235</v>
      </c>
      <c r="D71" s="30">
        <f t="shared" si="12"/>
        <v>1723</v>
      </c>
      <c r="E71" s="30">
        <f t="shared" si="12"/>
        <v>2621</v>
      </c>
      <c r="F71" s="30">
        <f t="shared" si="12"/>
        <v>367</v>
      </c>
      <c r="G71" s="30">
        <f t="shared" si="12"/>
        <v>566</v>
      </c>
      <c r="H71" s="30">
        <f t="shared" si="12"/>
        <v>661</v>
      </c>
      <c r="I71" s="30">
        <f t="shared" si="12"/>
        <v>986</v>
      </c>
      <c r="J71" s="30">
        <f t="shared" si="12"/>
        <v>1</v>
      </c>
      <c r="K71" s="30">
        <f t="shared" si="12"/>
        <v>2</v>
      </c>
      <c r="L71" s="30">
        <f t="shared" si="12"/>
        <v>6207</v>
      </c>
      <c r="M71" s="30">
        <f t="shared" si="12"/>
        <v>9410</v>
      </c>
    </row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D65:E65"/>
    <mergeCell ref="F65:G65"/>
    <mergeCell ref="H65:I65"/>
    <mergeCell ref="J65:K65"/>
    <mergeCell ref="A1:L1"/>
    <mergeCell ref="B2:C2"/>
    <mergeCell ref="D2:H2"/>
    <mergeCell ref="I2:L2"/>
    <mergeCell ref="A64:M64"/>
    <mergeCell ref="A65:A66"/>
    <mergeCell ref="B65:C65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14"/>
    <col customWidth="1" min="2" max="2" width="12.86"/>
    <col customWidth="1" min="3" max="3" width="6.57"/>
    <col customWidth="1" min="4" max="4" width="12.29"/>
    <col customWidth="1" min="5" max="5" width="10.29"/>
    <col customWidth="1" min="6" max="6" width="11.0"/>
    <col customWidth="1" min="7" max="7" width="8.43"/>
    <col customWidth="1" min="8" max="8" width="6.86"/>
    <col customWidth="1" min="9" max="9" width="7.14"/>
    <col customWidth="1" min="10" max="10" width="8.0"/>
    <col customWidth="1" min="11" max="11" width="8.43"/>
    <col customWidth="1" min="12" max="12" width="12.43"/>
    <col customWidth="1" min="13" max="26" width="15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9.25" customHeight="1">
      <c r="A2" s="5" t="s">
        <v>1</v>
      </c>
      <c r="B2" s="6" t="s">
        <v>79</v>
      </c>
      <c r="C2" s="7"/>
      <c r="D2" s="8" t="s">
        <v>3</v>
      </c>
      <c r="E2" s="2"/>
      <c r="F2" s="2"/>
      <c r="G2" s="2"/>
      <c r="H2" s="3"/>
      <c r="I2" s="8" t="s">
        <v>4</v>
      </c>
      <c r="J2" s="2"/>
      <c r="K2" s="2"/>
      <c r="L2" s="3"/>
      <c r="M2" s="9"/>
    </row>
    <row r="3" ht="13.5" customHeight="1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ht="13.5" customHeight="1">
      <c r="A4" s="14">
        <v>3734.0</v>
      </c>
      <c r="B4" s="14">
        <f t="shared" ref="B4:M4" si="1">SUM(B5:B38)</f>
        <v>4302</v>
      </c>
      <c r="C4" s="14">
        <f t="shared" si="1"/>
        <v>6865</v>
      </c>
      <c r="D4" s="14">
        <f t="shared" si="1"/>
        <v>2362</v>
      </c>
      <c r="E4" s="14">
        <f t="shared" si="1"/>
        <v>1235</v>
      </c>
      <c r="F4" s="14">
        <f t="shared" si="1"/>
        <v>244</v>
      </c>
      <c r="G4" s="14">
        <f t="shared" si="1"/>
        <v>455</v>
      </c>
      <c r="H4" s="14">
        <f t="shared" si="1"/>
        <v>6</v>
      </c>
      <c r="I4" s="14">
        <f t="shared" si="1"/>
        <v>3797</v>
      </c>
      <c r="J4" s="14">
        <f t="shared" si="1"/>
        <v>1968</v>
      </c>
      <c r="K4" s="14">
        <f t="shared" si="1"/>
        <v>418</v>
      </c>
      <c r="L4" s="14">
        <f t="shared" si="1"/>
        <v>675</v>
      </c>
      <c r="M4" s="14">
        <f t="shared" si="1"/>
        <v>7</v>
      </c>
      <c r="N4" s="15"/>
      <c r="O4" s="15"/>
      <c r="P4" s="15"/>
      <c r="Q4" s="15"/>
      <c r="R4" s="15"/>
      <c r="S4" s="15"/>
      <c r="T4" s="15"/>
    </row>
    <row r="5" ht="13.5" customHeight="1">
      <c r="A5" s="31" t="s">
        <v>13</v>
      </c>
      <c r="B5" s="16">
        <f t="shared" ref="B5:B55" si="2">SUM(D5:H5)</f>
        <v>12</v>
      </c>
      <c r="C5" s="16">
        <f t="shared" ref="C5:C55" si="3">SUM(I5:M5)</f>
        <v>19</v>
      </c>
      <c r="D5" s="31">
        <v>6.0</v>
      </c>
      <c r="E5" s="31">
        <v>6.0</v>
      </c>
      <c r="F5" s="31">
        <v>0.0</v>
      </c>
      <c r="G5" s="31">
        <v>0.0</v>
      </c>
      <c r="H5" s="31">
        <v>0.0</v>
      </c>
      <c r="I5" s="31">
        <v>10.0</v>
      </c>
      <c r="J5" s="31">
        <v>9.0</v>
      </c>
      <c r="K5" s="31">
        <v>0.0</v>
      </c>
      <c r="L5" s="31">
        <v>0.0</v>
      </c>
      <c r="M5" s="31">
        <v>0.0</v>
      </c>
    </row>
    <row r="6" ht="13.5" customHeight="1">
      <c r="A6" s="31" t="s">
        <v>15</v>
      </c>
      <c r="B6" s="16">
        <f t="shared" si="2"/>
        <v>163</v>
      </c>
      <c r="C6" s="16">
        <f t="shared" si="3"/>
        <v>228</v>
      </c>
      <c r="D6" s="31">
        <v>90.0</v>
      </c>
      <c r="E6" s="31">
        <v>44.0</v>
      </c>
      <c r="F6" s="31">
        <v>10.0</v>
      </c>
      <c r="G6" s="31">
        <v>19.0</v>
      </c>
      <c r="H6" s="31">
        <v>0.0</v>
      </c>
      <c r="I6" s="31">
        <v>129.0</v>
      </c>
      <c r="J6" s="31">
        <v>57.0</v>
      </c>
      <c r="K6" s="31">
        <v>15.0</v>
      </c>
      <c r="L6" s="31">
        <v>27.0</v>
      </c>
      <c r="M6" s="31">
        <v>0.0</v>
      </c>
    </row>
    <row r="7" ht="13.5" customHeight="1">
      <c r="A7" s="31" t="s">
        <v>16</v>
      </c>
      <c r="B7" s="16">
        <f t="shared" si="2"/>
        <v>24</v>
      </c>
      <c r="C7" s="16">
        <f t="shared" si="3"/>
        <v>33</v>
      </c>
      <c r="D7" s="31">
        <v>11.0</v>
      </c>
      <c r="E7" s="31">
        <v>9.0</v>
      </c>
      <c r="F7" s="31">
        <v>1.0</v>
      </c>
      <c r="G7" s="31">
        <v>3.0</v>
      </c>
      <c r="H7" s="31">
        <v>0.0</v>
      </c>
      <c r="I7" s="31">
        <v>16.0</v>
      </c>
      <c r="J7" s="31">
        <v>12.0</v>
      </c>
      <c r="K7" s="31">
        <v>2.0</v>
      </c>
      <c r="L7" s="31">
        <v>3.0</v>
      </c>
      <c r="M7" s="31">
        <v>0.0</v>
      </c>
    </row>
    <row r="8" ht="13.5" customHeight="1">
      <c r="A8" s="31" t="s">
        <v>17</v>
      </c>
      <c r="B8" s="16">
        <f t="shared" si="2"/>
        <v>151</v>
      </c>
      <c r="C8" s="16">
        <f t="shared" si="3"/>
        <v>238</v>
      </c>
      <c r="D8" s="31">
        <v>80.0</v>
      </c>
      <c r="E8" s="31">
        <v>41.0</v>
      </c>
      <c r="F8" s="31">
        <v>13.0</v>
      </c>
      <c r="G8" s="31">
        <v>17.0</v>
      </c>
      <c r="H8" s="31">
        <v>0.0</v>
      </c>
      <c r="I8" s="31">
        <v>125.0</v>
      </c>
      <c r="J8" s="31">
        <v>66.0</v>
      </c>
      <c r="K8" s="31">
        <v>20.0</v>
      </c>
      <c r="L8" s="31">
        <v>27.0</v>
      </c>
      <c r="M8" s="31">
        <v>0.0</v>
      </c>
    </row>
    <row r="9" ht="13.5" customHeight="1">
      <c r="A9" s="31" t="s">
        <v>18</v>
      </c>
      <c r="B9" s="16">
        <f t="shared" si="2"/>
        <v>79</v>
      </c>
      <c r="C9" s="16">
        <f t="shared" si="3"/>
        <v>141</v>
      </c>
      <c r="D9" s="31">
        <v>28.0</v>
      </c>
      <c r="E9" s="31">
        <v>30.0</v>
      </c>
      <c r="F9" s="31">
        <v>18.0</v>
      </c>
      <c r="G9" s="31">
        <v>3.0</v>
      </c>
      <c r="H9" s="31">
        <v>0.0</v>
      </c>
      <c r="I9" s="31">
        <v>52.0</v>
      </c>
      <c r="J9" s="31">
        <v>48.0</v>
      </c>
      <c r="K9" s="31">
        <v>36.0</v>
      </c>
      <c r="L9" s="31">
        <v>5.0</v>
      </c>
      <c r="M9" s="31">
        <v>0.0</v>
      </c>
    </row>
    <row r="10" ht="13.5" customHeight="1">
      <c r="A10" s="31" t="s">
        <v>19</v>
      </c>
      <c r="B10" s="16">
        <f t="shared" si="2"/>
        <v>570</v>
      </c>
      <c r="C10" s="16">
        <f t="shared" si="3"/>
        <v>940</v>
      </c>
      <c r="D10" s="31">
        <v>346.0</v>
      </c>
      <c r="E10" s="31">
        <v>140.0</v>
      </c>
      <c r="F10" s="31">
        <v>30.0</v>
      </c>
      <c r="G10" s="31">
        <v>54.0</v>
      </c>
      <c r="H10" s="31">
        <v>0.0</v>
      </c>
      <c r="I10" s="31">
        <v>567.0</v>
      </c>
      <c r="J10" s="31">
        <v>236.0</v>
      </c>
      <c r="K10" s="31">
        <v>51.0</v>
      </c>
      <c r="L10" s="31">
        <v>86.0</v>
      </c>
      <c r="M10" s="31">
        <v>0.0</v>
      </c>
    </row>
    <row r="11" ht="13.5" customHeight="1">
      <c r="A11" s="31" t="s">
        <v>20</v>
      </c>
      <c r="B11" s="16">
        <f t="shared" si="2"/>
        <v>28</v>
      </c>
      <c r="C11" s="16">
        <f t="shared" si="3"/>
        <v>47</v>
      </c>
      <c r="D11" s="31">
        <v>19.0</v>
      </c>
      <c r="E11" s="31">
        <v>2.0</v>
      </c>
      <c r="F11" s="31">
        <v>0.0</v>
      </c>
      <c r="G11" s="31">
        <v>7.0</v>
      </c>
      <c r="H11" s="31">
        <v>0.0</v>
      </c>
      <c r="I11" s="31">
        <v>32.0</v>
      </c>
      <c r="J11" s="31">
        <v>3.0</v>
      </c>
      <c r="K11" s="31">
        <v>0.0</v>
      </c>
      <c r="L11" s="31">
        <v>12.0</v>
      </c>
      <c r="M11" s="31">
        <v>0.0</v>
      </c>
    </row>
    <row r="12" ht="13.5" customHeight="1">
      <c r="A12" s="31" t="s">
        <v>21</v>
      </c>
      <c r="B12" s="16">
        <f t="shared" si="2"/>
        <v>439</v>
      </c>
      <c r="C12" s="16">
        <f t="shared" si="3"/>
        <v>726</v>
      </c>
      <c r="D12" s="31">
        <v>269.0</v>
      </c>
      <c r="E12" s="31">
        <v>109.0</v>
      </c>
      <c r="F12" s="31">
        <v>22.0</v>
      </c>
      <c r="G12" s="31">
        <v>39.0</v>
      </c>
      <c r="H12" s="31">
        <v>0.0</v>
      </c>
      <c r="I12" s="31">
        <v>448.0</v>
      </c>
      <c r="J12" s="31">
        <v>181.0</v>
      </c>
      <c r="K12" s="31">
        <v>35.0</v>
      </c>
      <c r="L12" s="31">
        <v>62.0</v>
      </c>
      <c r="M12" s="31">
        <v>0.0</v>
      </c>
    </row>
    <row r="13" ht="13.5" customHeight="1">
      <c r="A13" s="31" t="s">
        <v>22</v>
      </c>
      <c r="B13" s="16">
        <f t="shared" si="2"/>
        <v>173</v>
      </c>
      <c r="C13" s="16">
        <f t="shared" si="3"/>
        <v>274</v>
      </c>
      <c r="D13" s="31">
        <v>101.0</v>
      </c>
      <c r="E13" s="31">
        <v>52.0</v>
      </c>
      <c r="F13" s="31">
        <v>7.0</v>
      </c>
      <c r="G13" s="31">
        <v>13.0</v>
      </c>
      <c r="H13" s="31">
        <v>0.0</v>
      </c>
      <c r="I13" s="31">
        <v>156.0</v>
      </c>
      <c r="J13" s="31">
        <v>84.0</v>
      </c>
      <c r="K13" s="31">
        <v>14.0</v>
      </c>
      <c r="L13" s="31">
        <v>20.0</v>
      </c>
      <c r="M13" s="31">
        <v>0.0</v>
      </c>
    </row>
    <row r="14" ht="13.5" customHeight="1">
      <c r="A14" s="31" t="s">
        <v>23</v>
      </c>
      <c r="B14" s="16">
        <f t="shared" si="2"/>
        <v>76</v>
      </c>
      <c r="C14" s="16">
        <f t="shared" si="3"/>
        <v>148</v>
      </c>
      <c r="D14" s="31">
        <v>38.0</v>
      </c>
      <c r="E14" s="31">
        <v>24.0</v>
      </c>
      <c r="F14" s="31">
        <v>6.0</v>
      </c>
      <c r="G14" s="31">
        <v>8.0</v>
      </c>
      <c r="H14" s="31">
        <v>0.0</v>
      </c>
      <c r="I14" s="31">
        <v>76.0</v>
      </c>
      <c r="J14" s="31">
        <v>47.0</v>
      </c>
      <c r="K14" s="31">
        <v>10.0</v>
      </c>
      <c r="L14" s="31">
        <v>15.0</v>
      </c>
      <c r="M14" s="31">
        <v>0.0</v>
      </c>
    </row>
    <row r="15" ht="13.5" customHeight="1">
      <c r="A15" s="31" t="s">
        <v>24</v>
      </c>
      <c r="B15" s="16">
        <f t="shared" si="2"/>
        <v>43</v>
      </c>
      <c r="C15" s="16">
        <f t="shared" si="3"/>
        <v>87</v>
      </c>
      <c r="D15" s="31">
        <v>23.0</v>
      </c>
      <c r="E15" s="31">
        <v>8.0</v>
      </c>
      <c r="F15" s="31">
        <v>6.0</v>
      </c>
      <c r="G15" s="31">
        <v>6.0</v>
      </c>
      <c r="H15" s="31">
        <v>0.0</v>
      </c>
      <c r="I15" s="31">
        <v>51.0</v>
      </c>
      <c r="J15" s="31">
        <v>16.0</v>
      </c>
      <c r="K15" s="31">
        <v>13.0</v>
      </c>
      <c r="L15" s="31">
        <v>7.0</v>
      </c>
      <c r="M15" s="31">
        <v>0.0</v>
      </c>
    </row>
    <row r="16" ht="13.5" customHeight="1">
      <c r="A16" s="31" t="s">
        <v>25</v>
      </c>
      <c r="B16" s="16">
        <f t="shared" si="2"/>
        <v>208</v>
      </c>
      <c r="C16" s="16">
        <f t="shared" si="3"/>
        <v>333</v>
      </c>
      <c r="D16" s="31">
        <v>101.0</v>
      </c>
      <c r="E16" s="31">
        <v>56.0</v>
      </c>
      <c r="F16" s="31">
        <v>14.0</v>
      </c>
      <c r="G16" s="31">
        <v>37.0</v>
      </c>
      <c r="H16" s="31">
        <v>0.0</v>
      </c>
      <c r="I16" s="31">
        <v>163.0</v>
      </c>
      <c r="J16" s="31">
        <v>95.0</v>
      </c>
      <c r="K16" s="31">
        <v>21.0</v>
      </c>
      <c r="L16" s="31">
        <v>54.0</v>
      </c>
      <c r="M16" s="31">
        <v>0.0</v>
      </c>
    </row>
    <row r="17" ht="13.5" customHeight="1">
      <c r="A17" s="31" t="s">
        <v>26</v>
      </c>
      <c r="B17" s="16">
        <f t="shared" si="2"/>
        <v>98</v>
      </c>
      <c r="C17" s="16">
        <f t="shared" si="3"/>
        <v>155</v>
      </c>
      <c r="D17" s="31">
        <v>47.0</v>
      </c>
      <c r="E17" s="31">
        <v>32.0</v>
      </c>
      <c r="F17" s="31">
        <v>4.0</v>
      </c>
      <c r="G17" s="31">
        <v>15.0</v>
      </c>
      <c r="H17" s="31">
        <v>0.0</v>
      </c>
      <c r="I17" s="31">
        <v>73.0</v>
      </c>
      <c r="J17" s="31">
        <v>52.0</v>
      </c>
      <c r="K17" s="31">
        <v>6.0</v>
      </c>
      <c r="L17" s="31">
        <v>24.0</v>
      </c>
      <c r="M17" s="31">
        <v>0.0</v>
      </c>
    </row>
    <row r="18" ht="13.5" customHeight="1">
      <c r="A18" s="31" t="s">
        <v>27</v>
      </c>
      <c r="B18" s="16">
        <f t="shared" si="2"/>
        <v>133</v>
      </c>
      <c r="C18" s="16">
        <f t="shared" si="3"/>
        <v>222</v>
      </c>
      <c r="D18" s="31">
        <v>80.0</v>
      </c>
      <c r="E18" s="31">
        <v>35.0</v>
      </c>
      <c r="F18" s="31">
        <v>5.0</v>
      </c>
      <c r="G18" s="31">
        <v>13.0</v>
      </c>
      <c r="H18" s="31">
        <v>0.0</v>
      </c>
      <c r="I18" s="31">
        <v>139.0</v>
      </c>
      <c r="J18" s="31">
        <v>55.0</v>
      </c>
      <c r="K18" s="31">
        <v>9.0</v>
      </c>
      <c r="L18" s="31">
        <v>19.0</v>
      </c>
      <c r="M18" s="31">
        <v>0.0</v>
      </c>
    </row>
    <row r="19" ht="13.5" customHeight="1">
      <c r="A19" s="31" t="s">
        <v>28</v>
      </c>
      <c r="B19" s="16">
        <f t="shared" si="2"/>
        <v>91</v>
      </c>
      <c r="C19" s="16">
        <f t="shared" si="3"/>
        <v>107</v>
      </c>
      <c r="D19" s="31">
        <v>58.0</v>
      </c>
      <c r="E19" s="31">
        <v>28.0</v>
      </c>
      <c r="F19" s="31">
        <v>1.0</v>
      </c>
      <c r="G19" s="31">
        <v>4.0</v>
      </c>
      <c r="H19" s="31">
        <v>0.0</v>
      </c>
      <c r="I19" s="31">
        <v>69.0</v>
      </c>
      <c r="J19" s="31">
        <v>33.0</v>
      </c>
      <c r="K19" s="31">
        <v>1.0</v>
      </c>
      <c r="L19" s="31">
        <v>4.0</v>
      </c>
      <c r="M19" s="31">
        <v>0.0</v>
      </c>
    </row>
    <row r="20" ht="13.5" customHeight="1">
      <c r="A20" s="31" t="s">
        <v>29</v>
      </c>
      <c r="B20" s="16">
        <f t="shared" si="2"/>
        <v>69</v>
      </c>
      <c r="C20" s="16">
        <f t="shared" si="3"/>
        <v>108</v>
      </c>
      <c r="D20" s="31">
        <v>43.0</v>
      </c>
      <c r="E20" s="31">
        <v>21.0</v>
      </c>
      <c r="F20" s="31">
        <v>2.0</v>
      </c>
      <c r="G20" s="31">
        <v>3.0</v>
      </c>
      <c r="H20" s="31">
        <v>0.0</v>
      </c>
      <c r="I20" s="31">
        <v>71.0</v>
      </c>
      <c r="J20" s="31">
        <v>31.0</v>
      </c>
      <c r="K20" s="31">
        <v>2.0</v>
      </c>
      <c r="L20" s="31">
        <v>4.0</v>
      </c>
      <c r="M20" s="31">
        <v>0.0</v>
      </c>
    </row>
    <row r="21" ht="13.5" customHeight="1">
      <c r="A21" s="31" t="s">
        <v>80</v>
      </c>
      <c r="B21" s="16">
        <f t="shared" si="2"/>
        <v>2</v>
      </c>
      <c r="C21" s="16">
        <f t="shared" si="3"/>
        <v>2</v>
      </c>
      <c r="D21" s="31">
        <v>0.0</v>
      </c>
      <c r="E21" s="31">
        <v>0.0</v>
      </c>
      <c r="F21" s="31">
        <v>0.0</v>
      </c>
      <c r="G21" s="31">
        <v>0.0</v>
      </c>
      <c r="H21" s="31">
        <v>2.0</v>
      </c>
      <c r="I21" s="31">
        <v>0.0</v>
      </c>
      <c r="J21" s="31">
        <v>0.0</v>
      </c>
      <c r="K21" s="31">
        <v>0.0</v>
      </c>
      <c r="L21" s="31">
        <v>0.0</v>
      </c>
      <c r="M21" s="31">
        <v>2.0</v>
      </c>
    </row>
    <row r="22" ht="13.5" customHeight="1">
      <c r="A22" s="31" t="s">
        <v>73</v>
      </c>
      <c r="B22" s="16">
        <f t="shared" si="2"/>
        <v>1</v>
      </c>
      <c r="C22" s="16">
        <f t="shared" si="3"/>
        <v>1</v>
      </c>
      <c r="D22" s="31">
        <v>0.0</v>
      </c>
      <c r="E22" s="31">
        <v>0.0</v>
      </c>
      <c r="F22" s="31">
        <v>0.0</v>
      </c>
      <c r="G22" s="31">
        <v>0.0</v>
      </c>
      <c r="H22" s="31">
        <v>1.0</v>
      </c>
      <c r="I22" s="31">
        <v>0.0</v>
      </c>
      <c r="J22" s="31">
        <v>0.0</v>
      </c>
      <c r="K22" s="31">
        <v>0.0</v>
      </c>
      <c r="L22" s="31">
        <v>0.0</v>
      </c>
      <c r="M22" s="31">
        <v>1.0</v>
      </c>
    </row>
    <row r="23" ht="13.5" customHeight="1">
      <c r="A23" s="31" t="s">
        <v>81</v>
      </c>
      <c r="B23" s="16">
        <f t="shared" si="2"/>
        <v>1</v>
      </c>
      <c r="C23" s="16">
        <f t="shared" si="3"/>
        <v>1</v>
      </c>
      <c r="D23" s="31">
        <v>0.0</v>
      </c>
      <c r="E23" s="31">
        <v>0.0</v>
      </c>
      <c r="F23" s="31">
        <v>0.0</v>
      </c>
      <c r="G23" s="31">
        <v>0.0</v>
      </c>
      <c r="H23" s="31">
        <v>1.0</v>
      </c>
      <c r="I23" s="31">
        <v>0.0</v>
      </c>
      <c r="J23" s="31">
        <v>0.0</v>
      </c>
      <c r="K23" s="31">
        <v>0.0</v>
      </c>
      <c r="L23" s="31">
        <v>0.0</v>
      </c>
      <c r="M23" s="31">
        <v>1.0</v>
      </c>
    </row>
    <row r="24" ht="13.5" customHeight="1">
      <c r="A24" s="31" t="s">
        <v>82</v>
      </c>
      <c r="B24" s="16">
        <f t="shared" si="2"/>
        <v>1</v>
      </c>
      <c r="C24" s="16">
        <f t="shared" si="3"/>
        <v>1</v>
      </c>
      <c r="D24" s="31">
        <v>0.0</v>
      </c>
      <c r="E24" s="31">
        <v>0.0</v>
      </c>
      <c r="F24" s="31">
        <v>0.0</v>
      </c>
      <c r="G24" s="31">
        <v>0.0</v>
      </c>
      <c r="H24" s="31">
        <v>1.0</v>
      </c>
      <c r="I24" s="31">
        <v>0.0</v>
      </c>
      <c r="J24" s="31">
        <v>0.0</v>
      </c>
      <c r="K24" s="31">
        <v>0.0</v>
      </c>
      <c r="L24" s="31">
        <v>0.0</v>
      </c>
      <c r="M24" s="31">
        <v>1.0</v>
      </c>
    </row>
    <row r="25" ht="13.5" customHeight="1">
      <c r="A25" s="31" t="s">
        <v>83</v>
      </c>
      <c r="B25" s="16">
        <f t="shared" si="2"/>
        <v>1</v>
      </c>
      <c r="C25" s="16">
        <f t="shared" si="3"/>
        <v>2</v>
      </c>
      <c r="D25" s="31">
        <v>0.0</v>
      </c>
      <c r="E25" s="31">
        <v>0.0</v>
      </c>
      <c r="F25" s="31">
        <v>0.0</v>
      </c>
      <c r="G25" s="31">
        <v>0.0</v>
      </c>
      <c r="H25" s="31">
        <v>1.0</v>
      </c>
      <c r="I25" s="31">
        <v>0.0</v>
      </c>
      <c r="J25" s="31">
        <v>0.0</v>
      </c>
      <c r="K25" s="31">
        <v>0.0</v>
      </c>
      <c r="L25" s="31">
        <v>0.0</v>
      </c>
      <c r="M25" s="31">
        <v>2.0</v>
      </c>
    </row>
    <row r="26" ht="13.5" customHeight="1">
      <c r="A26" s="31" t="s">
        <v>30</v>
      </c>
      <c r="B26" s="16">
        <f t="shared" si="2"/>
        <v>38</v>
      </c>
      <c r="C26" s="16">
        <f t="shared" si="3"/>
        <v>58</v>
      </c>
      <c r="D26" s="31">
        <v>20.0</v>
      </c>
      <c r="E26" s="31">
        <v>12.0</v>
      </c>
      <c r="F26" s="31">
        <v>3.0</v>
      </c>
      <c r="G26" s="31">
        <v>3.0</v>
      </c>
      <c r="H26" s="31">
        <v>0.0</v>
      </c>
      <c r="I26" s="31">
        <v>28.0</v>
      </c>
      <c r="J26" s="31">
        <v>19.0</v>
      </c>
      <c r="K26" s="31">
        <v>5.0</v>
      </c>
      <c r="L26" s="31">
        <v>6.0</v>
      </c>
      <c r="M26" s="31">
        <v>0.0</v>
      </c>
    </row>
    <row r="27" ht="13.5" customHeight="1">
      <c r="A27" s="31" t="s">
        <v>31</v>
      </c>
      <c r="B27" s="16">
        <f t="shared" si="2"/>
        <v>26</v>
      </c>
      <c r="C27" s="16">
        <f t="shared" si="3"/>
        <v>34</v>
      </c>
      <c r="D27" s="31">
        <v>16.0</v>
      </c>
      <c r="E27" s="31">
        <v>5.0</v>
      </c>
      <c r="F27" s="31">
        <v>4.0</v>
      </c>
      <c r="G27" s="31">
        <v>1.0</v>
      </c>
      <c r="H27" s="31">
        <v>0.0</v>
      </c>
      <c r="I27" s="31">
        <v>20.0</v>
      </c>
      <c r="J27" s="31">
        <v>7.0</v>
      </c>
      <c r="K27" s="31">
        <v>6.0</v>
      </c>
      <c r="L27" s="31">
        <v>1.0</v>
      </c>
      <c r="M27" s="31">
        <v>0.0</v>
      </c>
    </row>
    <row r="28" ht="13.5" customHeight="1">
      <c r="A28" s="31" t="s">
        <v>32</v>
      </c>
      <c r="B28" s="16">
        <f t="shared" si="2"/>
        <v>93</v>
      </c>
      <c r="C28" s="16">
        <f t="shared" si="3"/>
        <v>139</v>
      </c>
      <c r="D28" s="31">
        <v>46.0</v>
      </c>
      <c r="E28" s="31">
        <v>23.0</v>
      </c>
      <c r="F28" s="31">
        <v>9.0</v>
      </c>
      <c r="G28" s="31">
        <v>15.0</v>
      </c>
      <c r="H28" s="31">
        <v>0.0</v>
      </c>
      <c r="I28" s="31">
        <v>68.0</v>
      </c>
      <c r="J28" s="31">
        <v>34.0</v>
      </c>
      <c r="K28" s="31">
        <v>15.0</v>
      </c>
      <c r="L28" s="31">
        <v>22.0</v>
      </c>
      <c r="M28" s="31">
        <v>0.0</v>
      </c>
    </row>
    <row r="29" ht="13.5" customHeight="1">
      <c r="A29" s="31" t="s">
        <v>33</v>
      </c>
      <c r="B29" s="16">
        <f t="shared" si="2"/>
        <v>869</v>
      </c>
      <c r="C29" s="16">
        <f t="shared" si="3"/>
        <v>1346</v>
      </c>
      <c r="D29" s="31">
        <v>533.0</v>
      </c>
      <c r="E29" s="31">
        <v>224.0</v>
      </c>
      <c r="F29" s="31">
        <v>37.0</v>
      </c>
      <c r="G29" s="31">
        <v>75.0</v>
      </c>
      <c r="H29" s="31">
        <v>0.0</v>
      </c>
      <c r="I29" s="31">
        <v>830.0</v>
      </c>
      <c r="J29" s="31">
        <v>348.0</v>
      </c>
      <c r="K29" s="31">
        <v>61.0</v>
      </c>
      <c r="L29" s="31">
        <v>107.0</v>
      </c>
      <c r="M29" s="31">
        <v>0.0</v>
      </c>
    </row>
    <row r="30" ht="13.5" customHeight="1">
      <c r="A30" s="31" t="s">
        <v>35</v>
      </c>
      <c r="B30" s="16">
        <f t="shared" si="2"/>
        <v>400</v>
      </c>
      <c r="C30" s="16">
        <f t="shared" si="3"/>
        <v>587</v>
      </c>
      <c r="D30" s="31">
        <v>169.0</v>
      </c>
      <c r="E30" s="31">
        <v>148.0</v>
      </c>
      <c r="F30" s="31">
        <v>15.0</v>
      </c>
      <c r="G30" s="31">
        <v>68.0</v>
      </c>
      <c r="H30" s="31">
        <v>0.0</v>
      </c>
      <c r="I30" s="31">
        <v>252.0</v>
      </c>
      <c r="J30" s="31">
        <v>216.0</v>
      </c>
      <c r="K30" s="31">
        <v>25.0</v>
      </c>
      <c r="L30" s="31">
        <v>94.0</v>
      </c>
      <c r="M30" s="31">
        <v>0.0</v>
      </c>
    </row>
    <row r="31" ht="13.5" customHeight="1">
      <c r="A31" s="31" t="s">
        <v>36</v>
      </c>
      <c r="B31" s="16">
        <f t="shared" si="2"/>
        <v>45</v>
      </c>
      <c r="C31" s="16">
        <f t="shared" si="3"/>
        <v>54</v>
      </c>
      <c r="D31" s="31">
        <v>19.0</v>
      </c>
      <c r="E31" s="31">
        <v>16.0</v>
      </c>
      <c r="F31" s="31">
        <v>4.0</v>
      </c>
      <c r="G31" s="31">
        <v>6.0</v>
      </c>
      <c r="H31" s="31">
        <v>0.0</v>
      </c>
      <c r="I31" s="31">
        <v>21.0</v>
      </c>
      <c r="J31" s="31">
        <v>22.0</v>
      </c>
      <c r="K31" s="31">
        <v>4.0</v>
      </c>
      <c r="L31" s="31">
        <v>7.0</v>
      </c>
      <c r="M31" s="31">
        <v>0.0</v>
      </c>
    </row>
    <row r="32" ht="13.5" customHeight="1">
      <c r="A32" s="31" t="s">
        <v>37</v>
      </c>
      <c r="B32" s="16">
        <f t="shared" si="2"/>
        <v>185</v>
      </c>
      <c r="C32" s="16">
        <f t="shared" si="3"/>
        <v>295</v>
      </c>
      <c r="D32" s="31">
        <v>98.0</v>
      </c>
      <c r="E32" s="31">
        <v>66.0</v>
      </c>
      <c r="F32" s="31">
        <v>6.0</v>
      </c>
      <c r="G32" s="31">
        <v>15.0</v>
      </c>
      <c r="H32" s="31">
        <v>0.0</v>
      </c>
      <c r="I32" s="31">
        <v>152.0</v>
      </c>
      <c r="J32" s="31">
        <v>111.0</v>
      </c>
      <c r="K32" s="31">
        <v>12.0</v>
      </c>
      <c r="L32" s="31">
        <v>20.0</v>
      </c>
      <c r="M32" s="31">
        <v>0.0</v>
      </c>
    </row>
    <row r="33" ht="13.5" customHeight="1">
      <c r="A33" s="31" t="s">
        <v>38</v>
      </c>
      <c r="B33" s="16">
        <f t="shared" si="2"/>
        <v>59</v>
      </c>
      <c r="C33" s="16">
        <f t="shared" si="3"/>
        <v>142</v>
      </c>
      <c r="D33" s="31">
        <v>34.0</v>
      </c>
      <c r="E33" s="31">
        <v>19.0</v>
      </c>
      <c r="F33" s="31">
        <v>1.0</v>
      </c>
      <c r="G33" s="31">
        <v>5.0</v>
      </c>
      <c r="H33" s="31">
        <v>0.0</v>
      </c>
      <c r="I33" s="31">
        <v>95.0</v>
      </c>
      <c r="J33" s="31">
        <v>39.0</v>
      </c>
      <c r="K33" s="31">
        <v>1.0</v>
      </c>
      <c r="L33" s="31">
        <v>7.0</v>
      </c>
      <c r="M33" s="31">
        <v>0.0</v>
      </c>
    </row>
    <row r="34" ht="13.5" customHeight="1">
      <c r="A34" s="31" t="s">
        <v>42</v>
      </c>
      <c r="B34" s="16">
        <f t="shared" si="2"/>
        <v>37</v>
      </c>
      <c r="C34" s="16">
        <f t="shared" si="3"/>
        <v>60</v>
      </c>
      <c r="D34" s="31">
        <v>23.0</v>
      </c>
      <c r="E34" s="31">
        <v>7.0</v>
      </c>
      <c r="F34" s="31">
        <v>1.0</v>
      </c>
      <c r="G34" s="31">
        <v>6.0</v>
      </c>
      <c r="H34" s="31">
        <v>0.0</v>
      </c>
      <c r="I34" s="31">
        <v>38.0</v>
      </c>
      <c r="J34" s="31">
        <v>11.0</v>
      </c>
      <c r="K34" s="31">
        <v>2.0</v>
      </c>
      <c r="L34" s="31">
        <v>9.0</v>
      </c>
      <c r="M34" s="31">
        <v>0.0</v>
      </c>
    </row>
    <row r="35" ht="13.5" customHeight="1">
      <c r="A35" s="31" t="s">
        <v>43</v>
      </c>
      <c r="B35" s="16">
        <f t="shared" si="2"/>
        <v>118</v>
      </c>
      <c r="C35" s="16">
        <f t="shared" si="3"/>
        <v>222</v>
      </c>
      <c r="D35" s="31">
        <v>27.0</v>
      </c>
      <c r="E35" s="31">
        <v>55.0</v>
      </c>
      <c r="F35" s="31">
        <v>23.0</v>
      </c>
      <c r="G35" s="31">
        <v>13.0</v>
      </c>
      <c r="H35" s="31">
        <v>0.0</v>
      </c>
      <c r="I35" s="31">
        <v>53.0</v>
      </c>
      <c r="J35" s="31">
        <v>99.0</v>
      </c>
      <c r="K35" s="31">
        <v>48.0</v>
      </c>
      <c r="L35" s="31">
        <v>22.0</v>
      </c>
      <c r="M35" s="31">
        <v>0.0</v>
      </c>
    </row>
    <row r="36" ht="13.5" customHeight="1">
      <c r="A36" s="31" t="s">
        <v>44</v>
      </c>
      <c r="B36" s="16">
        <f t="shared" si="2"/>
        <v>5</v>
      </c>
      <c r="C36" s="16">
        <f t="shared" si="3"/>
        <v>10</v>
      </c>
      <c r="D36" s="31">
        <v>4.0</v>
      </c>
      <c r="E36" s="31">
        <v>1.0</v>
      </c>
      <c r="F36" s="31">
        <v>0.0</v>
      </c>
      <c r="G36" s="31">
        <v>0.0</v>
      </c>
      <c r="H36" s="31">
        <v>0.0</v>
      </c>
      <c r="I36" s="31">
        <v>8.0</v>
      </c>
      <c r="J36" s="31">
        <v>2.0</v>
      </c>
      <c r="K36" s="31">
        <v>0.0</v>
      </c>
      <c r="L36" s="31">
        <v>0.0</v>
      </c>
      <c r="M36" s="31">
        <v>0.0</v>
      </c>
    </row>
    <row r="37" ht="13.5" customHeight="1">
      <c r="A37" s="31" t="s">
        <v>45</v>
      </c>
      <c r="B37" s="16">
        <f t="shared" si="2"/>
        <v>23</v>
      </c>
      <c r="C37" s="16">
        <f t="shared" si="3"/>
        <v>37</v>
      </c>
      <c r="D37" s="31">
        <v>7.0</v>
      </c>
      <c r="E37" s="31">
        <v>14.0</v>
      </c>
      <c r="F37" s="31">
        <v>0.0</v>
      </c>
      <c r="G37" s="31">
        <v>2.0</v>
      </c>
      <c r="H37" s="31">
        <v>0.0</v>
      </c>
      <c r="I37" s="31">
        <v>13.0</v>
      </c>
      <c r="J37" s="31">
        <v>20.0</v>
      </c>
      <c r="K37" s="31">
        <v>0.0</v>
      </c>
      <c r="L37" s="31">
        <v>4.0</v>
      </c>
      <c r="M37" s="31">
        <v>0.0</v>
      </c>
    </row>
    <row r="38" ht="13.5" customHeight="1">
      <c r="A38" s="31" t="s">
        <v>46</v>
      </c>
      <c r="B38" s="16">
        <f t="shared" si="2"/>
        <v>41</v>
      </c>
      <c r="C38" s="16">
        <f t="shared" si="3"/>
        <v>68</v>
      </c>
      <c r="D38" s="31">
        <v>26.0</v>
      </c>
      <c r="E38" s="31">
        <v>8.0</v>
      </c>
      <c r="F38" s="31">
        <v>2.0</v>
      </c>
      <c r="G38" s="31">
        <v>5.0</v>
      </c>
      <c r="H38" s="31">
        <v>0.0</v>
      </c>
      <c r="I38" s="31">
        <v>42.0</v>
      </c>
      <c r="J38" s="31">
        <v>15.0</v>
      </c>
      <c r="K38" s="31">
        <v>4.0</v>
      </c>
      <c r="L38" s="31">
        <v>7.0</v>
      </c>
      <c r="M38" s="31">
        <v>0.0</v>
      </c>
    </row>
    <row r="39" ht="13.5" customHeight="1">
      <c r="A39" s="17">
        <v>3753.0</v>
      </c>
      <c r="B39" s="18">
        <f t="shared" si="2"/>
        <v>1653</v>
      </c>
      <c r="C39" s="18">
        <f t="shared" si="3"/>
        <v>2218</v>
      </c>
      <c r="D39" s="18">
        <f t="shared" ref="D39:M39" si="4">SUM(D40:D46)</f>
        <v>902</v>
      </c>
      <c r="E39" s="18">
        <f t="shared" si="4"/>
        <v>484</v>
      </c>
      <c r="F39" s="18">
        <f t="shared" si="4"/>
        <v>89</v>
      </c>
      <c r="G39" s="18">
        <f t="shared" si="4"/>
        <v>178</v>
      </c>
      <c r="H39" s="18">
        <f t="shared" si="4"/>
        <v>0</v>
      </c>
      <c r="I39" s="18">
        <f t="shared" si="4"/>
        <v>1210</v>
      </c>
      <c r="J39" s="18">
        <f t="shared" si="4"/>
        <v>645</v>
      </c>
      <c r="K39" s="18">
        <f t="shared" si="4"/>
        <v>116</v>
      </c>
      <c r="L39" s="18">
        <f t="shared" si="4"/>
        <v>247</v>
      </c>
      <c r="M39" s="18">
        <f t="shared" si="4"/>
        <v>0</v>
      </c>
    </row>
    <row r="40" ht="13.5" customHeight="1">
      <c r="A40" s="31" t="s">
        <v>74</v>
      </c>
      <c r="B40" s="19">
        <f t="shared" si="2"/>
        <v>13</v>
      </c>
      <c r="C40" s="19">
        <f t="shared" si="3"/>
        <v>21</v>
      </c>
      <c r="D40" s="31">
        <v>5.0</v>
      </c>
      <c r="E40" s="31">
        <v>5.0</v>
      </c>
      <c r="F40" s="31">
        <v>2.0</v>
      </c>
      <c r="G40" s="31">
        <v>1.0</v>
      </c>
      <c r="H40" s="16">
        <v>0.0</v>
      </c>
      <c r="I40" s="31">
        <v>9.0</v>
      </c>
      <c r="J40" s="31">
        <v>7.0</v>
      </c>
      <c r="K40" s="31">
        <v>3.0</v>
      </c>
      <c r="L40" s="31">
        <v>2.0</v>
      </c>
      <c r="M40" s="16">
        <v>0.0</v>
      </c>
      <c r="N40" s="15"/>
      <c r="O40" s="15"/>
      <c r="P40" s="15"/>
      <c r="Q40" s="15"/>
      <c r="R40" s="15"/>
      <c r="S40" s="15"/>
      <c r="T40" s="15"/>
    </row>
    <row r="41" ht="13.5" customHeight="1">
      <c r="A41" s="31" t="s">
        <v>47</v>
      </c>
      <c r="B41" s="19">
        <f t="shared" si="2"/>
        <v>111</v>
      </c>
      <c r="C41" s="19">
        <f t="shared" si="3"/>
        <v>171</v>
      </c>
      <c r="D41" s="31">
        <v>62.0</v>
      </c>
      <c r="E41" s="31">
        <v>30.0</v>
      </c>
      <c r="F41" s="31">
        <v>7.0</v>
      </c>
      <c r="G41" s="31">
        <v>12.0</v>
      </c>
      <c r="H41" s="16">
        <v>0.0</v>
      </c>
      <c r="I41" s="31">
        <v>94.0</v>
      </c>
      <c r="J41" s="31">
        <v>47.0</v>
      </c>
      <c r="K41" s="31">
        <v>11.0</v>
      </c>
      <c r="L41" s="31">
        <v>19.0</v>
      </c>
      <c r="M41" s="16">
        <v>0.0</v>
      </c>
    </row>
    <row r="42" ht="13.5" customHeight="1">
      <c r="A42" s="31" t="s">
        <v>49</v>
      </c>
      <c r="B42" s="19">
        <f t="shared" si="2"/>
        <v>68</v>
      </c>
      <c r="C42" s="19">
        <f t="shared" si="3"/>
        <v>93</v>
      </c>
      <c r="D42" s="31">
        <v>29.0</v>
      </c>
      <c r="E42" s="31">
        <v>24.0</v>
      </c>
      <c r="F42" s="31">
        <v>11.0</v>
      </c>
      <c r="G42" s="31">
        <v>4.0</v>
      </c>
      <c r="H42" s="16">
        <v>0.0</v>
      </c>
      <c r="I42" s="31">
        <v>45.0</v>
      </c>
      <c r="J42" s="31">
        <v>30.0</v>
      </c>
      <c r="K42" s="31">
        <v>12.0</v>
      </c>
      <c r="L42" s="31">
        <v>6.0</v>
      </c>
      <c r="M42" s="16">
        <v>0.0</v>
      </c>
    </row>
    <row r="43" ht="13.5" customHeight="1">
      <c r="A43" s="31" t="s">
        <v>50</v>
      </c>
      <c r="B43" s="19">
        <f t="shared" si="2"/>
        <v>181</v>
      </c>
      <c r="C43" s="19">
        <f t="shared" si="3"/>
        <v>270</v>
      </c>
      <c r="D43" s="31">
        <v>99.0</v>
      </c>
      <c r="E43" s="31">
        <v>52.0</v>
      </c>
      <c r="F43" s="31">
        <v>5.0</v>
      </c>
      <c r="G43" s="31">
        <v>25.0</v>
      </c>
      <c r="H43" s="16">
        <v>0.0</v>
      </c>
      <c r="I43" s="31">
        <v>144.0</v>
      </c>
      <c r="J43" s="31">
        <v>78.0</v>
      </c>
      <c r="K43" s="31">
        <v>7.0</v>
      </c>
      <c r="L43" s="31">
        <v>41.0</v>
      </c>
      <c r="M43" s="16">
        <v>0.0</v>
      </c>
    </row>
    <row r="44" ht="13.5" customHeight="1">
      <c r="A44" s="31" t="s">
        <v>51</v>
      </c>
      <c r="B44" s="19">
        <f t="shared" si="2"/>
        <v>644</v>
      </c>
      <c r="C44" s="19">
        <f t="shared" si="3"/>
        <v>785</v>
      </c>
      <c r="D44" s="31">
        <v>362.0</v>
      </c>
      <c r="E44" s="31">
        <v>206.0</v>
      </c>
      <c r="F44" s="31">
        <v>25.0</v>
      </c>
      <c r="G44" s="31">
        <v>51.0</v>
      </c>
      <c r="H44" s="16">
        <v>0.0</v>
      </c>
      <c r="I44" s="31">
        <v>444.0</v>
      </c>
      <c r="J44" s="31">
        <v>253.0</v>
      </c>
      <c r="K44" s="31">
        <v>28.0</v>
      </c>
      <c r="L44" s="31">
        <v>60.0</v>
      </c>
      <c r="M44" s="16">
        <v>0.0</v>
      </c>
    </row>
    <row r="45" ht="13.5" customHeight="1">
      <c r="A45" s="31" t="s">
        <v>52</v>
      </c>
      <c r="B45" s="19">
        <f t="shared" si="2"/>
        <v>210</v>
      </c>
      <c r="C45" s="19">
        <f t="shared" si="3"/>
        <v>225</v>
      </c>
      <c r="D45" s="31">
        <v>106.0</v>
      </c>
      <c r="E45" s="31">
        <v>71.0</v>
      </c>
      <c r="F45" s="31">
        <v>21.0</v>
      </c>
      <c r="G45" s="31">
        <v>12.0</v>
      </c>
      <c r="H45" s="16">
        <v>0.0</v>
      </c>
      <c r="I45" s="31">
        <v>116.0</v>
      </c>
      <c r="J45" s="31">
        <v>75.0</v>
      </c>
      <c r="K45" s="31">
        <v>22.0</v>
      </c>
      <c r="L45" s="31">
        <v>12.0</v>
      </c>
      <c r="M45" s="16">
        <v>0.0</v>
      </c>
    </row>
    <row r="46" ht="13.5" customHeight="1">
      <c r="A46" s="31" t="s">
        <v>54</v>
      </c>
      <c r="B46" s="19">
        <f t="shared" si="2"/>
        <v>426</v>
      </c>
      <c r="C46" s="19">
        <f t="shared" si="3"/>
        <v>653</v>
      </c>
      <c r="D46" s="31">
        <v>239.0</v>
      </c>
      <c r="E46" s="31">
        <v>96.0</v>
      </c>
      <c r="F46" s="31">
        <v>18.0</v>
      </c>
      <c r="G46" s="31">
        <v>73.0</v>
      </c>
      <c r="H46" s="16">
        <v>0.0</v>
      </c>
      <c r="I46" s="31">
        <v>358.0</v>
      </c>
      <c r="J46" s="31">
        <v>155.0</v>
      </c>
      <c r="K46" s="31">
        <v>33.0</v>
      </c>
      <c r="L46" s="31">
        <v>107.0</v>
      </c>
      <c r="M46" s="16">
        <v>0.0</v>
      </c>
    </row>
    <row r="47" ht="13.5" customHeight="1">
      <c r="A47" s="17">
        <v>3754.0</v>
      </c>
      <c r="B47" s="18">
        <f t="shared" si="2"/>
        <v>234</v>
      </c>
      <c r="C47" s="18">
        <f t="shared" si="3"/>
        <v>395</v>
      </c>
      <c r="D47" s="18">
        <f t="shared" ref="D47:M47" si="5">SUM(D48:D51)</f>
        <v>132</v>
      </c>
      <c r="E47" s="18">
        <f t="shared" si="5"/>
        <v>46</v>
      </c>
      <c r="F47" s="18">
        <f t="shared" si="5"/>
        <v>12</v>
      </c>
      <c r="G47" s="18">
        <f t="shared" si="5"/>
        <v>44</v>
      </c>
      <c r="H47" s="18">
        <f t="shared" si="5"/>
        <v>0</v>
      </c>
      <c r="I47" s="18">
        <f t="shared" si="5"/>
        <v>220</v>
      </c>
      <c r="J47" s="18">
        <f t="shared" si="5"/>
        <v>86</v>
      </c>
      <c r="K47" s="18">
        <f t="shared" si="5"/>
        <v>19</v>
      </c>
      <c r="L47" s="18">
        <f t="shared" si="5"/>
        <v>70</v>
      </c>
      <c r="M47" s="18">
        <f t="shared" si="5"/>
        <v>0</v>
      </c>
    </row>
    <row r="48" ht="13.5" customHeight="1">
      <c r="A48" s="31" t="s">
        <v>75</v>
      </c>
      <c r="B48" s="19">
        <f t="shared" si="2"/>
        <v>25</v>
      </c>
      <c r="C48" s="19">
        <f t="shared" si="3"/>
        <v>54</v>
      </c>
      <c r="D48" s="31">
        <v>13.0</v>
      </c>
      <c r="E48" s="31">
        <v>8.0</v>
      </c>
      <c r="F48" s="31">
        <v>1.0</v>
      </c>
      <c r="G48" s="31">
        <v>3.0</v>
      </c>
      <c r="H48" s="16">
        <v>0.0</v>
      </c>
      <c r="I48" s="31">
        <v>28.0</v>
      </c>
      <c r="J48" s="31">
        <v>19.0</v>
      </c>
      <c r="K48" s="31">
        <v>1.0</v>
      </c>
      <c r="L48" s="31">
        <v>6.0</v>
      </c>
      <c r="M48" s="16">
        <v>0.0</v>
      </c>
      <c r="N48" s="15"/>
      <c r="O48" s="15"/>
      <c r="P48" s="15"/>
      <c r="Q48" s="15"/>
      <c r="R48" s="15"/>
      <c r="S48" s="15"/>
      <c r="T48" s="15"/>
    </row>
    <row r="49" ht="13.5" customHeight="1">
      <c r="A49" s="31" t="s">
        <v>55</v>
      </c>
      <c r="B49" s="19">
        <f t="shared" si="2"/>
        <v>12</v>
      </c>
      <c r="C49" s="19">
        <f t="shared" si="3"/>
        <v>17</v>
      </c>
      <c r="D49" s="31">
        <v>5.0</v>
      </c>
      <c r="E49" s="31">
        <v>3.0</v>
      </c>
      <c r="F49" s="31">
        <v>1.0</v>
      </c>
      <c r="G49" s="31">
        <v>3.0</v>
      </c>
      <c r="H49" s="16">
        <v>0.0</v>
      </c>
      <c r="I49" s="31">
        <v>8.0</v>
      </c>
      <c r="J49" s="31">
        <v>5.0</v>
      </c>
      <c r="K49" s="31">
        <v>1.0</v>
      </c>
      <c r="L49" s="31">
        <v>3.0</v>
      </c>
      <c r="M49" s="16">
        <v>0.0</v>
      </c>
    </row>
    <row r="50" ht="13.5" customHeight="1">
      <c r="A50" s="31" t="s">
        <v>57</v>
      </c>
      <c r="B50" s="19">
        <f t="shared" si="2"/>
        <v>150</v>
      </c>
      <c r="C50" s="19">
        <f t="shared" si="3"/>
        <v>251</v>
      </c>
      <c r="D50" s="31">
        <v>85.0</v>
      </c>
      <c r="E50" s="31">
        <v>23.0</v>
      </c>
      <c r="F50" s="31">
        <v>7.0</v>
      </c>
      <c r="G50" s="31">
        <v>35.0</v>
      </c>
      <c r="H50" s="16">
        <v>0.0</v>
      </c>
      <c r="I50" s="31">
        <v>141.0</v>
      </c>
      <c r="J50" s="31">
        <v>42.0</v>
      </c>
      <c r="K50" s="31">
        <v>12.0</v>
      </c>
      <c r="L50" s="31">
        <v>56.0</v>
      </c>
      <c r="M50" s="16">
        <v>0.0</v>
      </c>
    </row>
    <row r="51" ht="13.5" customHeight="1">
      <c r="A51" s="31" t="s">
        <v>58</v>
      </c>
      <c r="B51" s="19">
        <f t="shared" si="2"/>
        <v>47</v>
      </c>
      <c r="C51" s="19">
        <f t="shared" si="3"/>
        <v>73</v>
      </c>
      <c r="D51" s="31">
        <v>29.0</v>
      </c>
      <c r="E51" s="31">
        <v>12.0</v>
      </c>
      <c r="F51" s="31">
        <v>3.0</v>
      </c>
      <c r="G51" s="31">
        <v>3.0</v>
      </c>
      <c r="H51" s="16">
        <v>0.0</v>
      </c>
      <c r="I51" s="31">
        <v>43.0</v>
      </c>
      <c r="J51" s="31">
        <v>20.0</v>
      </c>
      <c r="K51" s="31">
        <v>5.0</v>
      </c>
      <c r="L51" s="31">
        <v>5.0</v>
      </c>
      <c r="M51" s="16">
        <v>0.0</v>
      </c>
    </row>
    <row r="52" ht="13.5" customHeight="1">
      <c r="A52" s="17">
        <v>3755.0</v>
      </c>
      <c r="B52" s="18">
        <f t="shared" si="2"/>
        <v>122</v>
      </c>
      <c r="C52" s="18">
        <f t="shared" si="3"/>
        <v>195</v>
      </c>
      <c r="D52" s="14">
        <f t="shared" ref="D52:M52" si="6">SUM(D53:D55)</f>
        <v>43</v>
      </c>
      <c r="E52" s="14">
        <f t="shared" si="6"/>
        <v>31</v>
      </c>
      <c r="F52" s="14">
        <f t="shared" si="6"/>
        <v>12</v>
      </c>
      <c r="G52" s="14">
        <f t="shared" si="6"/>
        <v>36</v>
      </c>
      <c r="H52" s="14">
        <f t="shared" si="6"/>
        <v>0</v>
      </c>
      <c r="I52" s="14">
        <f t="shared" si="6"/>
        <v>71</v>
      </c>
      <c r="J52" s="14">
        <f t="shared" si="6"/>
        <v>50</v>
      </c>
      <c r="K52" s="14">
        <f t="shared" si="6"/>
        <v>19</v>
      </c>
      <c r="L52" s="14">
        <f t="shared" si="6"/>
        <v>55</v>
      </c>
      <c r="M52" s="14">
        <f t="shared" si="6"/>
        <v>0</v>
      </c>
    </row>
    <row r="53" ht="13.5" customHeight="1">
      <c r="A53" s="31" t="s">
        <v>76</v>
      </c>
      <c r="B53" s="19">
        <f t="shared" si="2"/>
        <v>14</v>
      </c>
      <c r="C53" s="19">
        <f t="shared" si="3"/>
        <v>34</v>
      </c>
      <c r="D53" s="31">
        <v>7.0</v>
      </c>
      <c r="E53" s="31">
        <v>2.0</v>
      </c>
      <c r="F53" s="31">
        <v>1.0</v>
      </c>
      <c r="G53" s="31">
        <v>4.0</v>
      </c>
      <c r="H53" s="16">
        <v>0.0</v>
      </c>
      <c r="I53" s="31">
        <v>17.0</v>
      </c>
      <c r="J53" s="31">
        <v>4.0</v>
      </c>
      <c r="K53" s="31">
        <v>3.0</v>
      </c>
      <c r="L53" s="31">
        <v>10.0</v>
      </c>
      <c r="M53" s="16">
        <v>0.0</v>
      </c>
    </row>
    <row r="54" ht="13.5" customHeight="1">
      <c r="A54" s="31" t="s">
        <v>59</v>
      </c>
      <c r="B54" s="19">
        <f t="shared" si="2"/>
        <v>29</v>
      </c>
      <c r="C54" s="19">
        <f t="shared" si="3"/>
        <v>40</v>
      </c>
      <c r="D54" s="31">
        <v>11.0</v>
      </c>
      <c r="E54" s="31">
        <v>6.0</v>
      </c>
      <c r="F54" s="31">
        <v>1.0</v>
      </c>
      <c r="G54" s="31">
        <v>11.0</v>
      </c>
      <c r="H54" s="16">
        <v>0.0</v>
      </c>
      <c r="I54" s="31">
        <v>16.0</v>
      </c>
      <c r="J54" s="31">
        <v>9.0</v>
      </c>
      <c r="K54" s="31">
        <v>1.0</v>
      </c>
      <c r="L54" s="31">
        <v>14.0</v>
      </c>
      <c r="M54" s="16">
        <v>0.0</v>
      </c>
    </row>
    <row r="55" ht="13.5" customHeight="1">
      <c r="A55" s="31" t="s">
        <v>60</v>
      </c>
      <c r="B55" s="19">
        <f t="shared" si="2"/>
        <v>79</v>
      </c>
      <c r="C55" s="19">
        <f t="shared" si="3"/>
        <v>121</v>
      </c>
      <c r="D55" s="31">
        <v>25.0</v>
      </c>
      <c r="E55" s="31">
        <v>23.0</v>
      </c>
      <c r="F55" s="31">
        <v>10.0</v>
      </c>
      <c r="G55" s="31">
        <v>21.0</v>
      </c>
      <c r="H55" s="16">
        <v>0.0</v>
      </c>
      <c r="I55" s="31">
        <v>38.0</v>
      </c>
      <c r="J55" s="31">
        <v>37.0</v>
      </c>
      <c r="K55" s="31">
        <v>15.0</v>
      </c>
      <c r="L55" s="31">
        <v>31.0</v>
      </c>
      <c r="M55" s="16">
        <v>0.0</v>
      </c>
    </row>
    <row r="56" ht="13.5" customHeight="1">
      <c r="A56" s="20" t="s">
        <v>61</v>
      </c>
      <c r="B56" s="20">
        <f t="shared" ref="B56:C56" si="7">B4+B39+B47+B52</f>
        <v>6311</v>
      </c>
      <c r="C56" s="20">
        <f t="shared" si="7"/>
        <v>9673</v>
      </c>
      <c r="D56" s="20">
        <f t="shared" ref="D56:M56" si="8">D4+D39+D47</f>
        <v>3396</v>
      </c>
      <c r="E56" s="20">
        <f t="shared" si="8"/>
        <v>1765</v>
      </c>
      <c r="F56" s="20">
        <f t="shared" si="8"/>
        <v>345</v>
      </c>
      <c r="G56" s="20">
        <f t="shared" si="8"/>
        <v>677</v>
      </c>
      <c r="H56" s="20">
        <f t="shared" si="8"/>
        <v>6</v>
      </c>
      <c r="I56" s="20">
        <f t="shared" si="8"/>
        <v>5227</v>
      </c>
      <c r="J56" s="20">
        <f t="shared" si="8"/>
        <v>2699</v>
      </c>
      <c r="K56" s="20">
        <f t="shared" si="8"/>
        <v>553</v>
      </c>
      <c r="L56" s="20">
        <f t="shared" si="8"/>
        <v>992</v>
      </c>
      <c r="M56" s="20">
        <f t="shared" si="8"/>
        <v>7</v>
      </c>
    </row>
    <row r="57" ht="13.5" customHeight="1"/>
    <row r="58" ht="13.5" customHeight="1">
      <c r="A58" s="21" t="s">
        <v>62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3"/>
    </row>
    <row r="59" ht="13.5" customHeight="1">
      <c r="A59" s="24" t="s">
        <v>63</v>
      </c>
      <c r="B59" s="25" t="s">
        <v>8</v>
      </c>
      <c r="C59" s="23"/>
      <c r="D59" s="25" t="s">
        <v>9</v>
      </c>
      <c r="E59" s="23"/>
      <c r="F59" s="25" t="s">
        <v>10</v>
      </c>
      <c r="G59" s="23"/>
      <c r="H59" s="25" t="s">
        <v>11</v>
      </c>
      <c r="I59" s="23"/>
      <c r="J59" s="25" t="s">
        <v>12</v>
      </c>
      <c r="K59" s="23"/>
      <c r="L59" s="26" t="s">
        <v>64</v>
      </c>
      <c r="M59" s="26" t="s">
        <v>65</v>
      </c>
    </row>
    <row r="60" ht="13.5" customHeight="1">
      <c r="A60" s="27"/>
      <c r="B60" s="26" t="s">
        <v>66</v>
      </c>
      <c r="C60" s="26" t="s">
        <v>7</v>
      </c>
      <c r="D60" s="26" t="s">
        <v>66</v>
      </c>
      <c r="E60" s="26" t="s">
        <v>7</v>
      </c>
      <c r="F60" s="26" t="s">
        <v>66</v>
      </c>
      <c r="G60" s="26" t="s">
        <v>7</v>
      </c>
      <c r="H60" s="26" t="s">
        <v>66</v>
      </c>
      <c r="I60" s="26" t="s">
        <v>7</v>
      </c>
      <c r="J60" s="26" t="s">
        <v>66</v>
      </c>
      <c r="K60" s="26" t="s">
        <v>7</v>
      </c>
      <c r="L60" s="26" t="s">
        <v>66</v>
      </c>
      <c r="M60" s="26" t="s">
        <v>7</v>
      </c>
    </row>
    <row r="61" ht="13.5" customHeight="1">
      <c r="A61" s="32" t="s">
        <v>77</v>
      </c>
      <c r="B61" s="32">
        <v>25.0</v>
      </c>
      <c r="C61" s="32">
        <v>54.0</v>
      </c>
      <c r="D61" s="32">
        <v>15.0</v>
      </c>
      <c r="E61" s="32">
        <v>30.0</v>
      </c>
      <c r="F61" s="32">
        <v>4.0</v>
      </c>
      <c r="G61" s="32">
        <v>7.0</v>
      </c>
      <c r="H61" s="32">
        <v>8.0</v>
      </c>
      <c r="I61" s="32">
        <v>18.0</v>
      </c>
      <c r="J61" s="32">
        <v>0.0</v>
      </c>
      <c r="K61" s="32">
        <v>0.0</v>
      </c>
      <c r="L61" s="32">
        <f t="shared" ref="L61:M61" si="9">B61+D61+F61+H61+J61</f>
        <v>52</v>
      </c>
      <c r="M61" s="32">
        <f t="shared" si="9"/>
        <v>109</v>
      </c>
    </row>
    <row r="62" ht="13.5" customHeight="1">
      <c r="A62" s="32" t="s">
        <v>84</v>
      </c>
      <c r="B62" s="32">
        <v>0.0</v>
      </c>
      <c r="C62" s="32">
        <v>0.0</v>
      </c>
      <c r="D62" s="32">
        <v>0.0</v>
      </c>
      <c r="E62" s="32">
        <v>0.0</v>
      </c>
      <c r="F62" s="32">
        <v>0.0</v>
      </c>
      <c r="G62" s="32">
        <v>0.0</v>
      </c>
      <c r="H62" s="32">
        <v>0.0</v>
      </c>
      <c r="I62" s="32">
        <v>0.0</v>
      </c>
      <c r="J62" s="32">
        <v>1.0</v>
      </c>
      <c r="K62" s="32">
        <v>2.0</v>
      </c>
      <c r="L62" s="32">
        <f t="shared" ref="L62:M62" si="10">B62+D62+F62+H62+J62</f>
        <v>1</v>
      </c>
      <c r="M62" s="32">
        <f t="shared" si="10"/>
        <v>2</v>
      </c>
    </row>
    <row r="63" ht="13.5" customHeight="1">
      <c r="A63" s="32" t="s">
        <v>67</v>
      </c>
      <c r="B63" s="32">
        <v>3084.0</v>
      </c>
      <c r="C63" s="32">
        <v>5008.0</v>
      </c>
      <c r="D63" s="32">
        <v>1592.0</v>
      </c>
      <c r="E63" s="32">
        <v>2572.0</v>
      </c>
      <c r="F63" s="32">
        <v>330.0</v>
      </c>
      <c r="G63" s="32">
        <v>557.0</v>
      </c>
      <c r="H63" s="32">
        <v>674.0</v>
      </c>
      <c r="I63" s="32">
        <v>1063.0</v>
      </c>
      <c r="J63" s="32">
        <v>0.0</v>
      </c>
      <c r="K63" s="32">
        <v>0.0</v>
      </c>
      <c r="L63" s="32">
        <f t="shared" ref="L63:M63" si="11">B63+D63+F63+H63+J63</f>
        <v>5680</v>
      </c>
      <c r="M63" s="32">
        <f t="shared" si="11"/>
        <v>9200</v>
      </c>
    </row>
    <row r="64" ht="13.5" customHeight="1">
      <c r="A64" s="32" t="s">
        <v>78</v>
      </c>
      <c r="B64" s="32">
        <v>0.0</v>
      </c>
      <c r="C64" s="32">
        <v>0.0</v>
      </c>
      <c r="D64" s="32">
        <v>0.0</v>
      </c>
      <c r="E64" s="32">
        <v>0.0</v>
      </c>
      <c r="F64" s="32">
        <v>0.0</v>
      </c>
      <c r="G64" s="32">
        <v>0.0</v>
      </c>
      <c r="H64" s="32">
        <v>0.0</v>
      </c>
      <c r="I64" s="32">
        <v>0.0</v>
      </c>
      <c r="J64" s="32">
        <v>5.0</v>
      </c>
      <c r="K64" s="32">
        <v>5.0</v>
      </c>
      <c r="L64" s="32">
        <f t="shared" ref="L64:M64" si="12">B64+D64+F64+H64+J64</f>
        <v>5</v>
      </c>
      <c r="M64" s="32">
        <f t="shared" si="12"/>
        <v>5</v>
      </c>
    </row>
    <row r="65" ht="13.5" customHeight="1">
      <c r="A65" s="32" t="s">
        <v>68</v>
      </c>
      <c r="B65" s="32">
        <v>119.0</v>
      </c>
      <c r="C65" s="32">
        <v>245.0</v>
      </c>
      <c r="D65" s="32">
        <v>56.0</v>
      </c>
      <c r="E65" s="32">
        <v>96.0</v>
      </c>
      <c r="F65" s="32">
        <v>4.0</v>
      </c>
      <c r="G65" s="32">
        <v>4.0</v>
      </c>
      <c r="H65" s="32">
        <v>9.0</v>
      </c>
      <c r="I65" s="32">
        <v>12.0</v>
      </c>
      <c r="J65" s="32">
        <v>0.0</v>
      </c>
      <c r="K65" s="32">
        <v>0.0</v>
      </c>
      <c r="L65" s="32">
        <f t="shared" ref="L65:M65" si="13">B65+D65+F65+H65+J65</f>
        <v>188</v>
      </c>
      <c r="M65" s="32">
        <f t="shared" si="13"/>
        <v>357</v>
      </c>
    </row>
    <row r="66" ht="13.5" customHeight="1">
      <c r="A66" s="30" t="s">
        <v>69</v>
      </c>
      <c r="B66" s="30">
        <f t="shared" ref="B66:M66" si="14">SUM(B61:B65)</f>
        <v>3228</v>
      </c>
      <c r="C66" s="30">
        <f t="shared" si="14"/>
        <v>5307</v>
      </c>
      <c r="D66" s="30">
        <f t="shared" si="14"/>
        <v>1663</v>
      </c>
      <c r="E66" s="30">
        <f t="shared" si="14"/>
        <v>2698</v>
      </c>
      <c r="F66" s="30">
        <f t="shared" si="14"/>
        <v>338</v>
      </c>
      <c r="G66" s="30">
        <f t="shared" si="14"/>
        <v>568</v>
      </c>
      <c r="H66" s="30">
        <f t="shared" si="14"/>
        <v>691</v>
      </c>
      <c r="I66" s="30">
        <f t="shared" si="14"/>
        <v>1093</v>
      </c>
      <c r="J66" s="30">
        <f t="shared" si="14"/>
        <v>6</v>
      </c>
      <c r="K66" s="30">
        <f t="shared" si="14"/>
        <v>7</v>
      </c>
      <c r="L66" s="30">
        <f t="shared" si="14"/>
        <v>5926</v>
      </c>
      <c r="M66" s="30">
        <f t="shared" si="14"/>
        <v>9673</v>
      </c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D59:E59"/>
    <mergeCell ref="F59:G59"/>
    <mergeCell ref="H59:I59"/>
    <mergeCell ref="J59:K59"/>
    <mergeCell ref="A1:L1"/>
    <mergeCell ref="B2:C2"/>
    <mergeCell ref="D2:H2"/>
    <mergeCell ref="I2:L2"/>
    <mergeCell ref="A58:M58"/>
    <mergeCell ref="A59:A60"/>
    <mergeCell ref="B59:C59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14"/>
    <col customWidth="1" min="2" max="2" width="12.86"/>
    <col customWidth="1" min="3" max="3" width="6.57"/>
    <col customWidth="1" min="4" max="4" width="12.29"/>
    <col customWidth="1" min="5" max="5" width="10.29"/>
    <col customWidth="1" min="6" max="6" width="11.0"/>
    <col customWidth="1" min="7" max="7" width="8.43"/>
    <col customWidth="1" min="8" max="8" width="6.86"/>
    <col customWidth="1" min="9" max="9" width="7.14"/>
    <col customWidth="1" min="10" max="10" width="8.0"/>
    <col customWidth="1" min="11" max="11" width="8.43"/>
    <col customWidth="1" min="12" max="12" width="12.43"/>
    <col customWidth="1" min="13" max="26" width="15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9.25" customHeight="1">
      <c r="A2" s="5" t="s">
        <v>1</v>
      </c>
      <c r="B2" s="6" t="s">
        <v>85</v>
      </c>
      <c r="C2" s="7"/>
      <c r="D2" s="8" t="s">
        <v>3</v>
      </c>
      <c r="E2" s="2"/>
      <c r="F2" s="2"/>
      <c r="G2" s="2"/>
      <c r="H2" s="3"/>
      <c r="I2" s="8" t="s">
        <v>4</v>
      </c>
      <c r="J2" s="2"/>
      <c r="K2" s="2"/>
      <c r="L2" s="3"/>
      <c r="M2" s="9"/>
    </row>
    <row r="3" ht="13.5" customHeight="1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ht="13.5" customHeight="1">
      <c r="A4" s="14">
        <v>3734.0</v>
      </c>
      <c r="B4" s="14">
        <f t="shared" ref="B4:M4" si="1">SUM(B5:B44)</f>
        <v>4239</v>
      </c>
      <c r="C4" s="14">
        <f t="shared" si="1"/>
        <v>6719</v>
      </c>
      <c r="D4" s="14">
        <f t="shared" si="1"/>
        <v>2274</v>
      </c>
      <c r="E4" s="14">
        <f t="shared" si="1"/>
        <v>1222</v>
      </c>
      <c r="F4" s="14">
        <f t="shared" si="1"/>
        <v>241</v>
      </c>
      <c r="G4" s="14">
        <f t="shared" si="1"/>
        <v>466</v>
      </c>
      <c r="H4" s="14">
        <f t="shared" si="1"/>
        <v>36</v>
      </c>
      <c r="I4" s="14">
        <f t="shared" si="1"/>
        <v>3624</v>
      </c>
      <c r="J4" s="14">
        <f t="shared" si="1"/>
        <v>1985</v>
      </c>
      <c r="K4" s="14">
        <f t="shared" si="1"/>
        <v>392</v>
      </c>
      <c r="L4" s="14">
        <f t="shared" si="1"/>
        <v>682</v>
      </c>
      <c r="M4" s="14">
        <f t="shared" si="1"/>
        <v>36</v>
      </c>
      <c r="N4" s="15"/>
      <c r="O4" s="15"/>
      <c r="P4" s="15"/>
      <c r="Q4" s="15"/>
      <c r="R4" s="15"/>
      <c r="S4" s="15"/>
      <c r="T4" s="15"/>
    </row>
    <row r="5" ht="13.5" customHeight="1">
      <c r="A5" s="31" t="s">
        <v>13</v>
      </c>
      <c r="B5" s="31">
        <f t="shared" ref="B5:B62" si="2">SUM(D5:H5)</f>
        <v>13</v>
      </c>
      <c r="C5" s="31">
        <f t="shared" ref="C5:C62" si="3">SUM(I5:M5)</f>
        <v>21</v>
      </c>
      <c r="D5" s="31">
        <v>6.0</v>
      </c>
      <c r="E5" s="31">
        <v>5.0</v>
      </c>
      <c r="F5" s="31">
        <v>1.0</v>
      </c>
      <c r="G5" s="31">
        <v>1.0</v>
      </c>
      <c r="H5" s="31">
        <v>0.0</v>
      </c>
      <c r="I5" s="31">
        <v>8.0</v>
      </c>
      <c r="J5" s="31">
        <v>10.0</v>
      </c>
      <c r="K5" s="31">
        <v>2.0</v>
      </c>
      <c r="L5" s="31">
        <v>1.0</v>
      </c>
      <c r="M5" s="31">
        <v>0.0</v>
      </c>
    </row>
    <row r="6" ht="13.5" customHeight="1">
      <c r="A6" s="31" t="s">
        <v>15</v>
      </c>
      <c r="B6" s="31">
        <f t="shared" si="2"/>
        <v>136</v>
      </c>
      <c r="C6" s="31">
        <f t="shared" si="3"/>
        <v>192</v>
      </c>
      <c r="D6" s="31">
        <v>72.0</v>
      </c>
      <c r="E6" s="31">
        <v>36.0</v>
      </c>
      <c r="F6" s="31">
        <v>8.0</v>
      </c>
      <c r="G6" s="31">
        <v>20.0</v>
      </c>
      <c r="H6" s="31">
        <v>0.0</v>
      </c>
      <c r="I6" s="31">
        <v>107.0</v>
      </c>
      <c r="J6" s="31">
        <v>47.0</v>
      </c>
      <c r="K6" s="31">
        <v>12.0</v>
      </c>
      <c r="L6" s="31">
        <v>26.0</v>
      </c>
      <c r="M6" s="31">
        <v>0.0</v>
      </c>
    </row>
    <row r="7" ht="13.5" customHeight="1">
      <c r="A7" s="31" t="s">
        <v>16</v>
      </c>
      <c r="B7" s="31">
        <f t="shared" si="2"/>
        <v>20</v>
      </c>
      <c r="C7" s="31">
        <f t="shared" si="3"/>
        <v>28</v>
      </c>
      <c r="D7" s="31">
        <v>9.0</v>
      </c>
      <c r="E7" s="31">
        <v>9.0</v>
      </c>
      <c r="F7" s="31">
        <v>1.0</v>
      </c>
      <c r="G7" s="31">
        <v>1.0</v>
      </c>
      <c r="H7" s="31">
        <v>0.0</v>
      </c>
      <c r="I7" s="31">
        <v>14.0</v>
      </c>
      <c r="J7" s="31">
        <v>11.0</v>
      </c>
      <c r="K7" s="31">
        <v>2.0</v>
      </c>
      <c r="L7" s="31">
        <v>1.0</v>
      </c>
      <c r="M7" s="31">
        <v>0.0</v>
      </c>
    </row>
    <row r="8" ht="13.5" customHeight="1">
      <c r="A8" s="31" t="s">
        <v>17</v>
      </c>
      <c r="B8" s="31">
        <f t="shared" si="2"/>
        <v>138</v>
      </c>
      <c r="C8" s="31">
        <f t="shared" si="3"/>
        <v>223</v>
      </c>
      <c r="D8" s="31">
        <v>67.0</v>
      </c>
      <c r="E8" s="31">
        <v>37.0</v>
      </c>
      <c r="F8" s="31">
        <v>15.0</v>
      </c>
      <c r="G8" s="31">
        <v>19.0</v>
      </c>
      <c r="H8" s="31">
        <v>0.0</v>
      </c>
      <c r="I8" s="31">
        <v>110.0</v>
      </c>
      <c r="J8" s="31">
        <v>60.0</v>
      </c>
      <c r="K8" s="31">
        <v>22.0</v>
      </c>
      <c r="L8" s="31">
        <v>31.0</v>
      </c>
      <c r="M8" s="31">
        <v>0.0</v>
      </c>
    </row>
    <row r="9" ht="13.5" customHeight="1">
      <c r="A9" s="31" t="s">
        <v>18</v>
      </c>
      <c r="B9" s="31">
        <f t="shared" si="2"/>
        <v>76</v>
      </c>
      <c r="C9" s="31">
        <f t="shared" si="3"/>
        <v>136</v>
      </c>
      <c r="D9" s="31">
        <v>25.0</v>
      </c>
      <c r="E9" s="31">
        <v>33.0</v>
      </c>
      <c r="F9" s="31">
        <v>14.0</v>
      </c>
      <c r="G9" s="31">
        <v>4.0</v>
      </c>
      <c r="H9" s="31">
        <v>0.0</v>
      </c>
      <c r="I9" s="31">
        <v>50.0</v>
      </c>
      <c r="J9" s="31">
        <v>58.0</v>
      </c>
      <c r="K9" s="31">
        <v>23.0</v>
      </c>
      <c r="L9" s="31">
        <v>5.0</v>
      </c>
      <c r="M9" s="31">
        <v>0.0</v>
      </c>
    </row>
    <row r="10" ht="13.5" customHeight="1">
      <c r="A10" s="31" t="s">
        <v>19</v>
      </c>
      <c r="B10" s="31">
        <f t="shared" si="2"/>
        <v>556</v>
      </c>
      <c r="C10" s="31">
        <f t="shared" si="3"/>
        <v>919</v>
      </c>
      <c r="D10" s="31">
        <v>324.0</v>
      </c>
      <c r="E10" s="31">
        <v>143.0</v>
      </c>
      <c r="F10" s="31">
        <v>31.0</v>
      </c>
      <c r="G10" s="31">
        <v>58.0</v>
      </c>
      <c r="H10" s="31">
        <v>0.0</v>
      </c>
      <c r="I10" s="31">
        <v>536.0</v>
      </c>
      <c r="J10" s="31">
        <v>240.0</v>
      </c>
      <c r="K10" s="31">
        <v>53.0</v>
      </c>
      <c r="L10" s="31">
        <v>90.0</v>
      </c>
      <c r="M10" s="31">
        <v>0.0</v>
      </c>
    </row>
    <row r="11" ht="13.5" customHeight="1">
      <c r="A11" s="31" t="s">
        <v>20</v>
      </c>
      <c r="B11" s="31">
        <f t="shared" si="2"/>
        <v>32</v>
      </c>
      <c r="C11" s="31">
        <f t="shared" si="3"/>
        <v>47</v>
      </c>
      <c r="D11" s="31">
        <v>22.0</v>
      </c>
      <c r="E11" s="31">
        <v>3.0</v>
      </c>
      <c r="F11" s="31">
        <v>0.0</v>
      </c>
      <c r="G11" s="31">
        <v>7.0</v>
      </c>
      <c r="H11" s="31">
        <v>0.0</v>
      </c>
      <c r="I11" s="31">
        <v>32.0</v>
      </c>
      <c r="J11" s="31">
        <v>4.0</v>
      </c>
      <c r="K11" s="31">
        <v>0.0</v>
      </c>
      <c r="L11" s="31">
        <v>11.0</v>
      </c>
      <c r="M11" s="31">
        <v>0.0</v>
      </c>
    </row>
    <row r="12" ht="13.5" customHeight="1">
      <c r="A12" s="31" t="s">
        <v>21</v>
      </c>
      <c r="B12" s="31">
        <f t="shared" si="2"/>
        <v>461</v>
      </c>
      <c r="C12" s="31">
        <f t="shared" si="3"/>
        <v>739</v>
      </c>
      <c r="D12" s="31">
        <v>286.0</v>
      </c>
      <c r="E12" s="31">
        <v>117.0</v>
      </c>
      <c r="F12" s="31">
        <v>20.0</v>
      </c>
      <c r="G12" s="31">
        <v>38.0</v>
      </c>
      <c r="H12" s="31">
        <v>0.0</v>
      </c>
      <c r="I12" s="31">
        <v>459.0</v>
      </c>
      <c r="J12" s="31">
        <v>192.0</v>
      </c>
      <c r="K12" s="31">
        <v>34.0</v>
      </c>
      <c r="L12" s="31">
        <v>54.0</v>
      </c>
      <c r="M12" s="31">
        <v>0.0</v>
      </c>
    </row>
    <row r="13" ht="13.5" customHeight="1">
      <c r="A13" s="31" t="s">
        <v>22</v>
      </c>
      <c r="B13" s="31">
        <f t="shared" si="2"/>
        <v>168</v>
      </c>
      <c r="C13" s="31">
        <f t="shared" si="3"/>
        <v>273</v>
      </c>
      <c r="D13" s="31">
        <v>93.0</v>
      </c>
      <c r="E13" s="31">
        <v>53.0</v>
      </c>
      <c r="F13" s="31">
        <v>9.0</v>
      </c>
      <c r="G13" s="31">
        <v>13.0</v>
      </c>
      <c r="H13" s="31">
        <v>0.0</v>
      </c>
      <c r="I13" s="31">
        <v>150.0</v>
      </c>
      <c r="J13" s="31">
        <v>91.0</v>
      </c>
      <c r="K13" s="31">
        <v>14.0</v>
      </c>
      <c r="L13" s="31">
        <v>18.0</v>
      </c>
      <c r="M13" s="31">
        <v>0.0</v>
      </c>
    </row>
    <row r="14" ht="13.5" customHeight="1">
      <c r="A14" s="31" t="s">
        <v>23</v>
      </c>
      <c r="B14" s="31">
        <f t="shared" si="2"/>
        <v>81</v>
      </c>
      <c r="C14" s="31">
        <f t="shared" si="3"/>
        <v>148</v>
      </c>
      <c r="D14" s="31">
        <v>40.0</v>
      </c>
      <c r="E14" s="31">
        <v>25.0</v>
      </c>
      <c r="F14" s="31">
        <v>7.0</v>
      </c>
      <c r="G14" s="31">
        <v>9.0</v>
      </c>
      <c r="H14" s="31">
        <v>0.0</v>
      </c>
      <c r="I14" s="31">
        <v>74.0</v>
      </c>
      <c r="J14" s="31">
        <v>46.0</v>
      </c>
      <c r="K14" s="31">
        <v>12.0</v>
      </c>
      <c r="L14" s="31">
        <v>16.0</v>
      </c>
      <c r="M14" s="31">
        <v>0.0</v>
      </c>
    </row>
    <row r="15" ht="13.5" customHeight="1">
      <c r="A15" s="31" t="s">
        <v>24</v>
      </c>
      <c r="B15" s="31">
        <f t="shared" si="2"/>
        <v>43</v>
      </c>
      <c r="C15" s="31">
        <f t="shared" si="3"/>
        <v>88</v>
      </c>
      <c r="D15" s="31">
        <v>22.0</v>
      </c>
      <c r="E15" s="31">
        <v>11.0</v>
      </c>
      <c r="F15" s="31">
        <v>3.0</v>
      </c>
      <c r="G15" s="31">
        <v>7.0</v>
      </c>
      <c r="H15" s="31">
        <v>0.0</v>
      </c>
      <c r="I15" s="31">
        <v>52.0</v>
      </c>
      <c r="J15" s="31">
        <v>21.0</v>
      </c>
      <c r="K15" s="31">
        <v>5.0</v>
      </c>
      <c r="L15" s="31">
        <v>10.0</v>
      </c>
      <c r="M15" s="31">
        <v>0.0</v>
      </c>
    </row>
    <row r="16" ht="13.5" customHeight="1">
      <c r="A16" s="31" t="s">
        <v>25</v>
      </c>
      <c r="B16" s="31">
        <f t="shared" si="2"/>
        <v>201</v>
      </c>
      <c r="C16" s="31">
        <f t="shared" si="3"/>
        <v>311</v>
      </c>
      <c r="D16" s="31">
        <v>103.0</v>
      </c>
      <c r="E16" s="31">
        <v>54.0</v>
      </c>
      <c r="F16" s="31">
        <v>11.0</v>
      </c>
      <c r="G16" s="31">
        <v>33.0</v>
      </c>
      <c r="H16" s="31">
        <v>0.0</v>
      </c>
      <c r="I16" s="31">
        <v>154.0</v>
      </c>
      <c r="J16" s="31">
        <v>84.0</v>
      </c>
      <c r="K16" s="31">
        <v>19.0</v>
      </c>
      <c r="L16" s="31">
        <v>54.0</v>
      </c>
      <c r="M16" s="31">
        <v>0.0</v>
      </c>
    </row>
    <row r="17" ht="13.5" customHeight="1">
      <c r="A17" s="31" t="s">
        <v>26</v>
      </c>
      <c r="B17" s="31">
        <f t="shared" si="2"/>
        <v>99</v>
      </c>
      <c r="C17" s="31">
        <f t="shared" si="3"/>
        <v>149</v>
      </c>
      <c r="D17" s="31">
        <v>43.0</v>
      </c>
      <c r="E17" s="31">
        <v>34.0</v>
      </c>
      <c r="F17" s="31">
        <v>2.0</v>
      </c>
      <c r="G17" s="31">
        <v>20.0</v>
      </c>
      <c r="H17" s="31">
        <v>0.0</v>
      </c>
      <c r="I17" s="31">
        <v>62.0</v>
      </c>
      <c r="J17" s="31">
        <v>54.0</v>
      </c>
      <c r="K17" s="31">
        <v>4.0</v>
      </c>
      <c r="L17" s="31">
        <v>29.0</v>
      </c>
      <c r="M17" s="31">
        <v>0.0</v>
      </c>
    </row>
    <row r="18" ht="13.5" customHeight="1">
      <c r="A18" s="31" t="s">
        <v>27</v>
      </c>
      <c r="B18" s="31">
        <f t="shared" si="2"/>
        <v>118</v>
      </c>
      <c r="C18" s="31">
        <f t="shared" si="3"/>
        <v>202</v>
      </c>
      <c r="D18" s="31">
        <v>70.0</v>
      </c>
      <c r="E18" s="31">
        <v>33.0</v>
      </c>
      <c r="F18" s="31">
        <v>3.0</v>
      </c>
      <c r="G18" s="31">
        <v>12.0</v>
      </c>
      <c r="H18" s="31">
        <v>0.0</v>
      </c>
      <c r="I18" s="31">
        <v>121.0</v>
      </c>
      <c r="J18" s="31">
        <v>58.0</v>
      </c>
      <c r="K18" s="31">
        <v>5.0</v>
      </c>
      <c r="L18" s="31">
        <v>18.0</v>
      </c>
      <c r="M18" s="31">
        <v>0.0</v>
      </c>
    </row>
    <row r="19" ht="13.5" customHeight="1">
      <c r="A19" s="31" t="s">
        <v>28</v>
      </c>
      <c r="B19" s="31">
        <f t="shared" si="2"/>
        <v>86</v>
      </c>
      <c r="C19" s="31">
        <f t="shared" si="3"/>
        <v>109</v>
      </c>
      <c r="D19" s="31">
        <v>57.0</v>
      </c>
      <c r="E19" s="31">
        <v>23.0</v>
      </c>
      <c r="F19" s="31">
        <v>2.0</v>
      </c>
      <c r="G19" s="31">
        <v>4.0</v>
      </c>
      <c r="H19" s="31">
        <v>0.0</v>
      </c>
      <c r="I19" s="31">
        <v>73.0</v>
      </c>
      <c r="J19" s="31">
        <v>28.0</v>
      </c>
      <c r="K19" s="31">
        <v>3.0</v>
      </c>
      <c r="L19" s="31">
        <v>5.0</v>
      </c>
      <c r="M19" s="31">
        <v>0.0</v>
      </c>
    </row>
    <row r="20" ht="13.5" customHeight="1">
      <c r="A20" s="31" t="s">
        <v>29</v>
      </c>
      <c r="B20" s="31">
        <f t="shared" si="2"/>
        <v>61</v>
      </c>
      <c r="C20" s="31">
        <f t="shared" si="3"/>
        <v>88</v>
      </c>
      <c r="D20" s="31">
        <v>41.0</v>
      </c>
      <c r="E20" s="31">
        <v>15.0</v>
      </c>
      <c r="F20" s="31">
        <v>1.0</v>
      </c>
      <c r="G20" s="31">
        <v>4.0</v>
      </c>
      <c r="H20" s="31">
        <v>0.0</v>
      </c>
      <c r="I20" s="31">
        <v>63.0</v>
      </c>
      <c r="J20" s="31">
        <v>20.0</v>
      </c>
      <c r="K20" s="31">
        <v>1.0</v>
      </c>
      <c r="L20" s="31">
        <v>4.0</v>
      </c>
      <c r="M20" s="31">
        <v>0.0</v>
      </c>
    </row>
    <row r="21" ht="13.5" customHeight="1">
      <c r="A21" s="31" t="s">
        <v>71</v>
      </c>
      <c r="B21" s="31">
        <f t="shared" si="2"/>
        <v>3</v>
      </c>
      <c r="C21" s="31">
        <f t="shared" si="3"/>
        <v>3</v>
      </c>
      <c r="D21" s="31">
        <v>0.0</v>
      </c>
      <c r="E21" s="31">
        <v>1.0</v>
      </c>
      <c r="F21" s="31">
        <v>0.0</v>
      </c>
      <c r="G21" s="31">
        <v>2.0</v>
      </c>
      <c r="H21" s="31">
        <v>0.0</v>
      </c>
      <c r="I21" s="31">
        <v>0.0</v>
      </c>
      <c r="J21" s="31">
        <v>1.0</v>
      </c>
      <c r="K21" s="31">
        <v>0.0</v>
      </c>
      <c r="L21" s="31">
        <v>2.0</v>
      </c>
      <c r="M21" s="31">
        <v>0.0</v>
      </c>
    </row>
    <row r="22" ht="13.5" customHeight="1">
      <c r="A22" s="31" t="s">
        <v>86</v>
      </c>
      <c r="B22" s="31">
        <f t="shared" si="2"/>
        <v>4</v>
      </c>
      <c r="C22" s="31">
        <f t="shared" si="3"/>
        <v>4</v>
      </c>
      <c r="D22" s="31">
        <v>0.0</v>
      </c>
      <c r="E22" s="31">
        <v>0.0</v>
      </c>
      <c r="F22" s="31">
        <v>0.0</v>
      </c>
      <c r="G22" s="31">
        <v>0.0</v>
      </c>
      <c r="H22" s="31">
        <v>4.0</v>
      </c>
      <c r="I22" s="31">
        <v>0.0</v>
      </c>
      <c r="J22" s="31">
        <v>0.0</v>
      </c>
      <c r="K22" s="31">
        <v>0.0</v>
      </c>
      <c r="L22" s="31">
        <v>0.0</v>
      </c>
      <c r="M22" s="31">
        <v>4.0</v>
      </c>
    </row>
    <row r="23" ht="13.5" customHeight="1">
      <c r="A23" s="31" t="s">
        <v>87</v>
      </c>
      <c r="B23" s="31">
        <f t="shared" si="2"/>
        <v>1</v>
      </c>
      <c r="C23" s="31">
        <f t="shared" si="3"/>
        <v>1</v>
      </c>
      <c r="D23" s="31">
        <v>0.0</v>
      </c>
      <c r="E23" s="31">
        <v>0.0</v>
      </c>
      <c r="F23" s="31">
        <v>0.0</v>
      </c>
      <c r="G23" s="31">
        <v>0.0</v>
      </c>
      <c r="H23" s="31">
        <v>1.0</v>
      </c>
      <c r="I23" s="31">
        <v>0.0</v>
      </c>
      <c r="J23" s="31">
        <v>0.0</v>
      </c>
      <c r="K23" s="31">
        <v>0.0</v>
      </c>
      <c r="L23" s="31">
        <v>0.0</v>
      </c>
      <c r="M23" s="31">
        <v>1.0</v>
      </c>
    </row>
    <row r="24" ht="13.5" customHeight="1">
      <c r="A24" s="31" t="s">
        <v>88</v>
      </c>
      <c r="B24" s="31">
        <f t="shared" si="2"/>
        <v>6</v>
      </c>
      <c r="C24" s="31">
        <f t="shared" si="3"/>
        <v>6</v>
      </c>
      <c r="D24" s="31">
        <v>0.0</v>
      </c>
      <c r="E24" s="31">
        <v>0.0</v>
      </c>
      <c r="F24" s="31">
        <v>0.0</v>
      </c>
      <c r="G24" s="31">
        <v>2.0</v>
      </c>
      <c r="H24" s="31">
        <v>4.0</v>
      </c>
      <c r="I24" s="31">
        <v>0.0</v>
      </c>
      <c r="J24" s="31">
        <v>0.0</v>
      </c>
      <c r="K24" s="31">
        <v>0.0</v>
      </c>
      <c r="L24" s="31">
        <v>2.0</v>
      </c>
      <c r="M24" s="31">
        <v>4.0</v>
      </c>
    </row>
    <row r="25" ht="13.5" customHeight="1">
      <c r="A25" s="31" t="s">
        <v>72</v>
      </c>
      <c r="B25" s="31">
        <f t="shared" si="2"/>
        <v>3</v>
      </c>
      <c r="C25" s="31">
        <f t="shared" si="3"/>
        <v>3</v>
      </c>
      <c r="D25" s="31">
        <v>0.0</v>
      </c>
      <c r="E25" s="31">
        <v>0.0</v>
      </c>
      <c r="F25" s="31">
        <v>0.0</v>
      </c>
      <c r="G25" s="31">
        <v>0.0</v>
      </c>
      <c r="H25" s="31">
        <v>3.0</v>
      </c>
      <c r="I25" s="31">
        <v>0.0</v>
      </c>
      <c r="J25" s="31">
        <v>0.0</v>
      </c>
      <c r="K25" s="31">
        <v>0.0</v>
      </c>
      <c r="L25" s="31">
        <v>0.0</v>
      </c>
      <c r="M25" s="31">
        <v>3.0</v>
      </c>
    </row>
    <row r="26" ht="13.5" customHeight="1">
      <c r="A26" s="31" t="s">
        <v>80</v>
      </c>
      <c r="B26" s="31">
        <f t="shared" si="2"/>
        <v>7</v>
      </c>
      <c r="C26" s="31">
        <f t="shared" si="3"/>
        <v>7</v>
      </c>
      <c r="D26" s="31">
        <v>0.0</v>
      </c>
      <c r="E26" s="31">
        <v>0.0</v>
      </c>
      <c r="F26" s="31">
        <v>0.0</v>
      </c>
      <c r="G26" s="31">
        <v>0.0</v>
      </c>
      <c r="H26" s="31">
        <v>7.0</v>
      </c>
      <c r="I26" s="31">
        <v>0.0</v>
      </c>
      <c r="J26" s="31">
        <v>0.0</v>
      </c>
      <c r="K26" s="31">
        <v>0.0</v>
      </c>
      <c r="L26" s="31">
        <v>0.0</v>
      </c>
      <c r="M26" s="31">
        <v>7.0</v>
      </c>
    </row>
    <row r="27" ht="13.5" customHeight="1">
      <c r="A27" s="31" t="s">
        <v>73</v>
      </c>
      <c r="B27" s="31">
        <f t="shared" si="2"/>
        <v>1</v>
      </c>
      <c r="C27" s="31">
        <f t="shared" si="3"/>
        <v>1</v>
      </c>
      <c r="D27" s="31">
        <v>0.0</v>
      </c>
      <c r="E27" s="31">
        <v>0.0</v>
      </c>
      <c r="F27" s="31">
        <v>0.0</v>
      </c>
      <c r="G27" s="31">
        <v>0.0</v>
      </c>
      <c r="H27" s="31">
        <v>1.0</v>
      </c>
      <c r="I27" s="31">
        <v>0.0</v>
      </c>
      <c r="J27" s="31">
        <v>0.0</v>
      </c>
      <c r="K27" s="31">
        <v>0.0</v>
      </c>
      <c r="L27" s="31">
        <v>0.0</v>
      </c>
      <c r="M27" s="31">
        <v>1.0</v>
      </c>
    </row>
    <row r="28" ht="13.5" customHeight="1">
      <c r="A28" s="31" t="s">
        <v>89</v>
      </c>
      <c r="B28" s="31">
        <f t="shared" si="2"/>
        <v>2</v>
      </c>
      <c r="C28" s="31">
        <f t="shared" si="3"/>
        <v>2</v>
      </c>
      <c r="D28" s="31">
        <v>0.0</v>
      </c>
      <c r="E28" s="31">
        <v>0.0</v>
      </c>
      <c r="F28" s="31">
        <v>0.0</v>
      </c>
      <c r="G28" s="31">
        <v>0.0</v>
      </c>
      <c r="H28" s="31">
        <v>2.0</v>
      </c>
      <c r="I28" s="31">
        <v>0.0</v>
      </c>
      <c r="J28" s="31">
        <v>0.0</v>
      </c>
      <c r="K28" s="31">
        <v>0.0</v>
      </c>
      <c r="L28" s="31">
        <v>0.0</v>
      </c>
      <c r="M28" s="31">
        <v>2.0</v>
      </c>
    </row>
    <row r="29" ht="13.5" customHeight="1">
      <c r="A29" s="31" t="s">
        <v>81</v>
      </c>
      <c r="B29" s="31">
        <f t="shared" si="2"/>
        <v>4</v>
      </c>
      <c r="C29" s="31">
        <f t="shared" si="3"/>
        <v>4</v>
      </c>
      <c r="D29" s="31">
        <v>0.0</v>
      </c>
      <c r="E29" s="31">
        <v>0.0</v>
      </c>
      <c r="F29" s="31">
        <v>0.0</v>
      </c>
      <c r="G29" s="31">
        <v>0.0</v>
      </c>
      <c r="H29" s="31">
        <v>4.0</v>
      </c>
      <c r="I29" s="31">
        <v>0.0</v>
      </c>
      <c r="J29" s="31">
        <v>0.0</v>
      </c>
      <c r="K29" s="31">
        <v>0.0</v>
      </c>
      <c r="L29" s="31">
        <v>0.0</v>
      </c>
      <c r="M29" s="31">
        <v>4.0</v>
      </c>
    </row>
    <row r="30" ht="13.5" customHeight="1">
      <c r="A30" s="31" t="s">
        <v>82</v>
      </c>
      <c r="B30" s="31">
        <f t="shared" si="2"/>
        <v>5</v>
      </c>
      <c r="C30" s="31">
        <f t="shared" si="3"/>
        <v>5</v>
      </c>
      <c r="D30" s="31">
        <v>0.0</v>
      </c>
      <c r="E30" s="31">
        <v>0.0</v>
      </c>
      <c r="F30" s="31">
        <v>0.0</v>
      </c>
      <c r="G30" s="31">
        <v>0.0</v>
      </c>
      <c r="H30" s="31">
        <v>5.0</v>
      </c>
      <c r="I30" s="31">
        <v>0.0</v>
      </c>
      <c r="J30" s="31">
        <v>0.0</v>
      </c>
      <c r="K30" s="31">
        <v>0.0</v>
      </c>
      <c r="L30" s="31">
        <v>0.0</v>
      </c>
      <c r="M30" s="31">
        <v>5.0</v>
      </c>
    </row>
    <row r="31" ht="13.5" customHeight="1">
      <c r="A31" s="31" t="s">
        <v>90</v>
      </c>
      <c r="B31" s="31">
        <f t="shared" si="2"/>
        <v>5</v>
      </c>
      <c r="C31" s="31">
        <f t="shared" si="3"/>
        <v>5</v>
      </c>
      <c r="D31" s="31">
        <v>0.0</v>
      </c>
      <c r="E31" s="31">
        <v>0.0</v>
      </c>
      <c r="F31" s="31">
        <v>0.0</v>
      </c>
      <c r="G31" s="31">
        <v>0.0</v>
      </c>
      <c r="H31" s="31">
        <v>5.0</v>
      </c>
      <c r="I31" s="31">
        <v>0.0</v>
      </c>
      <c r="J31" s="31">
        <v>0.0</v>
      </c>
      <c r="K31" s="31">
        <v>0.0</v>
      </c>
      <c r="L31" s="31">
        <v>0.0</v>
      </c>
      <c r="M31" s="31">
        <v>5.0</v>
      </c>
    </row>
    <row r="32" ht="13.5" customHeight="1">
      <c r="A32" s="31" t="s">
        <v>30</v>
      </c>
      <c r="B32" s="31">
        <f t="shared" si="2"/>
        <v>37</v>
      </c>
      <c r="C32" s="31">
        <f t="shared" si="3"/>
        <v>65</v>
      </c>
      <c r="D32" s="31">
        <v>21.0</v>
      </c>
      <c r="E32" s="31">
        <v>10.0</v>
      </c>
      <c r="F32" s="31">
        <v>3.0</v>
      </c>
      <c r="G32" s="31">
        <v>3.0</v>
      </c>
      <c r="H32" s="31">
        <v>0.0</v>
      </c>
      <c r="I32" s="31">
        <v>35.0</v>
      </c>
      <c r="J32" s="31">
        <v>19.0</v>
      </c>
      <c r="K32" s="31">
        <v>5.0</v>
      </c>
      <c r="L32" s="31">
        <v>6.0</v>
      </c>
      <c r="M32" s="31">
        <v>0.0</v>
      </c>
    </row>
    <row r="33" ht="13.5" customHeight="1">
      <c r="A33" s="31" t="s">
        <v>31</v>
      </c>
      <c r="B33" s="31">
        <f t="shared" si="2"/>
        <v>22</v>
      </c>
      <c r="C33" s="31">
        <f t="shared" si="3"/>
        <v>35</v>
      </c>
      <c r="D33" s="31">
        <v>11.0</v>
      </c>
      <c r="E33" s="31">
        <v>6.0</v>
      </c>
      <c r="F33" s="31">
        <v>3.0</v>
      </c>
      <c r="G33" s="31">
        <v>2.0</v>
      </c>
      <c r="H33" s="31">
        <v>0.0</v>
      </c>
      <c r="I33" s="31">
        <v>17.0</v>
      </c>
      <c r="J33" s="31">
        <v>11.0</v>
      </c>
      <c r="K33" s="31">
        <v>5.0</v>
      </c>
      <c r="L33" s="31">
        <v>2.0</v>
      </c>
      <c r="M33" s="31">
        <v>0.0</v>
      </c>
    </row>
    <row r="34" ht="13.5" customHeight="1">
      <c r="A34" s="31" t="s">
        <v>32</v>
      </c>
      <c r="B34" s="31">
        <f t="shared" si="2"/>
        <v>84</v>
      </c>
      <c r="C34" s="31">
        <f t="shared" si="3"/>
        <v>126</v>
      </c>
      <c r="D34" s="31">
        <v>44.0</v>
      </c>
      <c r="E34" s="31">
        <v>20.0</v>
      </c>
      <c r="F34" s="31">
        <v>8.0</v>
      </c>
      <c r="G34" s="31">
        <v>12.0</v>
      </c>
      <c r="H34" s="31">
        <v>0.0</v>
      </c>
      <c r="I34" s="31">
        <v>65.0</v>
      </c>
      <c r="J34" s="31">
        <v>29.0</v>
      </c>
      <c r="K34" s="31">
        <v>13.0</v>
      </c>
      <c r="L34" s="31">
        <v>19.0</v>
      </c>
      <c r="M34" s="31">
        <v>0.0</v>
      </c>
    </row>
    <row r="35" ht="13.5" customHeight="1">
      <c r="A35" s="31" t="s">
        <v>33</v>
      </c>
      <c r="B35" s="31">
        <f t="shared" si="2"/>
        <v>869</v>
      </c>
      <c r="C35" s="31">
        <f t="shared" si="3"/>
        <v>1307</v>
      </c>
      <c r="D35" s="31">
        <v>527.0</v>
      </c>
      <c r="E35" s="31">
        <v>218.0</v>
      </c>
      <c r="F35" s="31">
        <v>39.0</v>
      </c>
      <c r="G35" s="31">
        <v>85.0</v>
      </c>
      <c r="H35" s="31">
        <v>0.0</v>
      </c>
      <c r="I35" s="31">
        <v>787.0</v>
      </c>
      <c r="J35" s="31">
        <v>342.0</v>
      </c>
      <c r="K35" s="31">
        <v>60.0</v>
      </c>
      <c r="L35" s="31">
        <v>118.0</v>
      </c>
      <c r="M35" s="31">
        <v>0.0</v>
      </c>
    </row>
    <row r="36" ht="13.5" customHeight="1">
      <c r="A36" s="31" t="s">
        <v>35</v>
      </c>
      <c r="B36" s="31">
        <f t="shared" si="2"/>
        <v>360</v>
      </c>
      <c r="C36" s="31">
        <f t="shared" si="3"/>
        <v>543</v>
      </c>
      <c r="D36" s="31">
        <v>148.0</v>
      </c>
      <c r="E36" s="31">
        <v>130.0</v>
      </c>
      <c r="F36" s="31">
        <v>13.0</v>
      </c>
      <c r="G36" s="31">
        <v>69.0</v>
      </c>
      <c r="H36" s="31">
        <v>0.0</v>
      </c>
      <c r="I36" s="31">
        <v>229.0</v>
      </c>
      <c r="J36" s="31">
        <v>197.0</v>
      </c>
      <c r="K36" s="31">
        <v>21.0</v>
      </c>
      <c r="L36" s="31">
        <v>96.0</v>
      </c>
      <c r="M36" s="31">
        <v>0.0</v>
      </c>
    </row>
    <row r="37" ht="13.5" customHeight="1">
      <c r="A37" s="31" t="s">
        <v>36</v>
      </c>
      <c r="B37" s="31">
        <f t="shared" si="2"/>
        <v>48</v>
      </c>
      <c r="C37" s="31">
        <f t="shared" si="3"/>
        <v>53</v>
      </c>
      <c r="D37" s="31">
        <v>18.0</v>
      </c>
      <c r="E37" s="31">
        <v>21.0</v>
      </c>
      <c r="F37" s="31">
        <v>6.0</v>
      </c>
      <c r="G37" s="31">
        <v>3.0</v>
      </c>
      <c r="H37" s="31">
        <v>0.0</v>
      </c>
      <c r="I37" s="31">
        <v>18.0</v>
      </c>
      <c r="J37" s="31">
        <v>26.0</v>
      </c>
      <c r="K37" s="31">
        <v>6.0</v>
      </c>
      <c r="L37" s="31">
        <v>3.0</v>
      </c>
      <c r="M37" s="31">
        <v>0.0</v>
      </c>
    </row>
    <row r="38" ht="13.5" customHeight="1">
      <c r="A38" s="31" t="s">
        <v>37</v>
      </c>
      <c r="B38" s="31">
        <f t="shared" si="2"/>
        <v>199</v>
      </c>
      <c r="C38" s="31">
        <f t="shared" si="3"/>
        <v>307</v>
      </c>
      <c r="D38" s="31">
        <v>99.0</v>
      </c>
      <c r="E38" s="31">
        <v>77.0</v>
      </c>
      <c r="F38" s="31">
        <v>10.0</v>
      </c>
      <c r="G38" s="31">
        <v>13.0</v>
      </c>
      <c r="H38" s="31">
        <v>0.0</v>
      </c>
      <c r="I38" s="31">
        <v>143.0</v>
      </c>
      <c r="J38" s="31">
        <v>128.0</v>
      </c>
      <c r="K38" s="31">
        <v>14.0</v>
      </c>
      <c r="L38" s="31">
        <v>22.0</v>
      </c>
      <c r="M38" s="31">
        <v>0.0</v>
      </c>
    </row>
    <row r="39" ht="13.5" customHeight="1">
      <c r="A39" s="31" t="s">
        <v>38</v>
      </c>
      <c r="B39" s="31">
        <f t="shared" si="2"/>
        <v>57</v>
      </c>
      <c r="C39" s="31">
        <f t="shared" si="3"/>
        <v>155</v>
      </c>
      <c r="D39" s="31">
        <v>35.0</v>
      </c>
      <c r="E39" s="31">
        <v>18.0</v>
      </c>
      <c r="F39" s="31">
        <v>2.0</v>
      </c>
      <c r="G39" s="31">
        <v>2.0</v>
      </c>
      <c r="H39" s="31">
        <v>0.0</v>
      </c>
      <c r="I39" s="31">
        <v>102.0</v>
      </c>
      <c r="J39" s="31">
        <v>43.0</v>
      </c>
      <c r="K39" s="31">
        <v>6.0</v>
      </c>
      <c r="L39" s="31">
        <v>4.0</v>
      </c>
      <c r="M39" s="31">
        <v>0.0</v>
      </c>
    </row>
    <row r="40" ht="13.5" customHeight="1">
      <c r="A40" s="31" t="s">
        <v>42</v>
      </c>
      <c r="B40" s="31">
        <f t="shared" si="2"/>
        <v>38</v>
      </c>
      <c r="C40" s="31">
        <f t="shared" si="3"/>
        <v>65</v>
      </c>
      <c r="D40" s="31">
        <v>25.0</v>
      </c>
      <c r="E40" s="31">
        <v>6.0</v>
      </c>
      <c r="F40" s="31">
        <v>1.0</v>
      </c>
      <c r="G40" s="31">
        <v>6.0</v>
      </c>
      <c r="H40" s="31">
        <v>0.0</v>
      </c>
      <c r="I40" s="31">
        <v>44.0</v>
      </c>
      <c r="J40" s="31">
        <v>10.0</v>
      </c>
      <c r="K40" s="31">
        <v>2.0</v>
      </c>
      <c r="L40" s="31">
        <v>9.0</v>
      </c>
      <c r="M40" s="31">
        <v>0.0</v>
      </c>
    </row>
    <row r="41" ht="13.5" customHeight="1">
      <c r="A41" s="31" t="s">
        <v>43</v>
      </c>
      <c r="B41" s="31">
        <f t="shared" si="2"/>
        <v>118</v>
      </c>
      <c r="C41" s="31">
        <f t="shared" si="3"/>
        <v>221</v>
      </c>
      <c r="D41" s="31">
        <v>26.0</v>
      </c>
      <c r="E41" s="31">
        <v>56.0</v>
      </c>
      <c r="F41" s="31">
        <v>25.0</v>
      </c>
      <c r="G41" s="31">
        <v>11.0</v>
      </c>
      <c r="H41" s="31">
        <v>0.0</v>
      </c>
      <c r="I41" s="31">
        <v>51.0</v>
      </c>
      <c r="J41" s="31">
        <v>108.0</v>
      </c>
      <c r="K41" s="31">
        <v>45.0</v>
      </c>
      <c r="L41" s="31">
        <v>17.0</v>
      </c>
      <c r="M41" s="31">
        <v>0.0</v>
      </c>
    </row>
    <row r="42" ht="13.5" customHeight="1">
      <c r="A42" s="31" t="s">
        <v>44</v>
      </c>
      <c r="B42" s="31">
        <f t="shared" si="2"/>
        <v>5</v>
      </c>
      <c r="C42" s="31">
        <f t="shared" si="3"/>
        <v>10</v>
      </c>
      <c r="D42" s="31">
        <v>4.0</v>
      </c>
      <c r="E42" s="31">
        <v>1.0</v>
      </c>
      <c r="F42" s="31">
        <v>0.0</v>
      </c>
      <c r="G42" s="31">
        <v>0.0</v>
      </c>
      <c r="H42" s="31">
        <v>0.0</v>
      </c>
      <c r="I42" s="31">
        <v>8.0</v>
      </c>
      <c r="J42" s="31">
        <v>2.0</v>
      </c>
      <c r="K42" s="31">
        <v>0.0</v>
      </c>
      <c r="L42" s="31">
        <v>0.0</v>
      </c>
      <c r="M42" s="31">
        <v>0.0</v>
      </c>
    </row>
    <row r="43" ht="13.5" customHeight="1">
      <c r="A43" s="31" t="s">
        <v>45</v>
      </c>
      <c r="B43" s="31">
        <f t="shared" si="2"/>
        <v>28</v>
      </c>
      <c r="C43" s="31">
        <f t="shared" si="3"/>
        <v>43</v>
      </c>
      <c r="D43" s="31">
        <v>10.0</v>
      </c>
      <c r="E43" s="31">
        <v>15.0</v>
      </c>
      <c r="F43" s="31">
        <v>2.0</v>
      </c>
      <c r="G43" s="31">
        <v>1.0</v>
      </c>
      <c r="H43" s="31">
        <v>0.0</v>
      </c>
      <c r="I43" s="31">
        <v>15.0</v>
      </c>
      <c r="J43" s="31">
        <v>24.0</v>
      </c>
      <c r="K43" s="31">
        <v>2.0</v>
      </c>
      <c r="L43" s="31">
        <v>2.0</v>
      </c>
      <c r="M43" s="31">
        <v>0.0</v>
      </c>
    </row>
    <row r="44" ht="13.5" customHeight="1">
      <c r="A44" s="31" t="s">
        <v>46</v>
      </c>
      <c r="B44" s="31">
        <f t="shared" si="2"/>
        <v>44</v>
      </c>
      <c r="C44" s="31">
        <f t="shared" si="3"/>
        <v>75</v>
      </c>
      <c r="D44" s="31">
        <v>26.0</v>
      </c>
      <c r="E44" s="31">
        <v>12.0</v>
      </c>
      <c r="F44" s="31">
        <v>1.0</v>
      </c>
      <c r="G44" s="31">
        <v>5.0</v>
      </c>
      <c r="H44" s="31">
        <v>0.0</v>
      </c>
      <c r="I44" s="31">
        <v>45.0</v>
      </c>
      <c r="J44" s="31">
        <v>21.0</v>
      </c>
      <c r="K44" s="31">
        <v>2.0</v>
      </c>
      <c r="L44" s="31">
        <v>7.0</v>
      </c>
      <c r="M44" s="31">
        <v>0.0</v>
      </c>
    </row>
    <row r="45" ht="13.5" customHeight="1">
      <c r="A45" s="17">
        <v>3753.0</v>
      </c>
      <c r="B45" s="18">
        <f t="shared" si="2"/>
        <v>1903</v>
      </c>
      <c r="C45" s="18">
        <f t="shared" si="3"/>
        <v>2847</v>
      </c>
      <c r="D45" s="18">
        <f t="shared" ref="D45:M45" si="4">SUM(D46:D52)</f>
        <v>1036</v>
      </c>
      <c r="E45" s="18">
        <f t="shared" si="4"/>
        <v>553</v>
      </c>
      <c r="F45" s="18">
        <f t="shared" si="4"/>
        <v>106</v>
      </c>
      <c r="G45" s="18">
        <f t="shared" si="4"/>
        <v>208</v>
      </c>
      <c r="H45" s="18">
        <f t="shared" si="4"/>
        <v>0</v>
      </c>
      <c r="I45" s="18">
        <f t="shared" si="4"/>
        <v>1545</v>
      </c>
      <c r="J45" s="18">
        <f t="shared" si="4"/>
        <v>853</v>
      </c>
      <c r="K45" s="18">
        <f t="shared" si="4"/>
        <v>160</v>
      </c>
      <c r="L45" s="18">
        <f t="shared" si="4"/>
        <v>289</v>
      </c>
      <c r="M45" s="18">
        <f t="shared" si="4"/>
        <v>0</v>
      </c>
    </row>
    <row r="46" ht="13.5" customHeight="1">
      <c r="A46" s="31" t="s">
        <v>74</v>
      </c>
      <c r="B46" s="33">
        <f t="shared" si="2"/>
        <v>18</v>
      </c>
      <c r="C46" s="33">
        <f t="shared" si="3"/>
        <v>19</v>
      </c>
      <c r="D46" s="31">
        <v>7.0</v>
      </c>
      <c r="E46" s="31">
        <v>7.0</v>
      </c>
      <c r="F46" s="31">
        <v>1.0</v>
      </c>
      <c r="G46" s="31">
        <v>3.0</v>
      </c>
      <c r="H46" s="31">
        <v>0.0</v>
      </c>
      <c r="I46" s="31">
        <v>7.0</v>
      </c>
      <c r="J46" s="31">
        <v>8.0</v>
      </c>
      <c r="K46" s="31">
        <v>1.0</v>
      </c>
      <c r="L46" s="31">
        <v>3.0</v>
      </c>
      <c r="M46" s="31">
        <v>0.0</v>
      </c>
      <c r="N46" s="15"/>
      <c r="O46" s="15"/>
      <c r="P46" s="15"/>
      <c r="Q46" s="15"/>
      <c r="R46" s="15"/>
      <c r="S46" s="15"/>
      <c r="T46" s="15"/>
    </row>
    <row r="47" ht="13.5" customHeight="1">
      <c r="A47" s="31" t="s">
        <v>47</v>
      </c>
      <c r="B47" s="33">
        <f t="shared" si="2"/>
        <v>108</v>
      </c>
      <c r="C47" s="33">
        <f t="shared" si="3"/>
        <v>176</v>
      </c>
      <c r="D47" s="31">
        <v>59.0</v>
      </c>
      <c r="E47" s="31">
        <v>29.0</v>
      </c>
      <c r="F47" s="31">
        <v>8.0</v>
      </c>
      <c r="G47" s="31">
        <v>12.0</v>
      </c>
      <c r="H47" s="31">
        <v>0.0</v>
      </c>
      <c r="I47" s="31">
        <v>93.0</v>
      </c>
      <c r="J47" s="31">
        <v>50.0</v>
      </c>
      <c r="K47" s="31">
        <v>13.0</v>
      </c>
      <c r="L47" s="31">
        <v>20.0</v>
      </c>
      <c r="M47" s="31">
        <v>0.0</v>
      </c>
    </row>
    <row r="48" ht="13.5" customHeight="1">
      <c r="A48" s="31" t="s">
        <v>49</v>
      </c>
      <c r="B48" s="33">
        <f t="shared" si="2"/>
        <v>52</v>
      </c>
      <c r="C48" s="33">
        <f t="shared" si="3"/>
        <v>70</v>
      </c>
      <c r="D48" s="31">
        <v>23.0</v>
      </c>
      <c r="E48" s="31">
        <v>20.0</v>
      </c>
      <c r="F48" s="31">
        <v>5.0</v>
      </c>
      <c r="G48" s="31">
        <v>4.0</v>
      </c>
      <c r="H48" s="31">
        <v>0.0</v>
      </c>
      <c r="I48" s="31">
        <v>30.0</v>
      </c>
      <c r="J48" s="31">
        <v>27.0</v>
      </c>
      <c r="K48" s="31">
        <v>8.0</v>
      </c>
      <c r="L48" s="31">
        <v>5.0</v>
      </c>
      <c r="M48" s="31">
        <v>0.0</v>
      </c>
    </row>
    <row r="49" ht="13.5" customHeight="1">
      <c r="A49" s="31" t="s">
        <v>50</v>
      </c>
      <c r="B49" s="33">
        <f t="shared" si="2"/>
        <v>203</v>
      </c>
      <c r="C49" s="33">
        <f t="shared" si="3"/>
        <v>304</v>
      </c>
      <c r="D49" s="31">
        <v>118.0</v>
      </c>
      <c r="E49" s="31">
        <v>47.0</v>
      </c>
      <c r="F49" s="31">
        <v>6.0</v>
      </c>
      <c r="G49" s="31">
        <v>32.0</v>
      </c>
      <c r="H49" s="31">
        <v>0.0</v>
      </c>
      <c r="I49" s="31">
        <v>170.0</v>
      </c>
      <c r="J49" s="31">
        <v>77.0</v>
      </c>
      <c r="K49" s="31">
        <v>11.0</v>
      </c>
      <c r="L49" s="31">
        <v>46.0</v>
      </c>
      <c r="M49" s="31">
        <v>0.0</v>
      </c>
    </row>
    <row r="50" ht="13.5" customHeight="1">
      <c r="A50" s="31" t="s">
        <v>51</v>
      </c>
      <c r="B50" s="33">
        <f t="shared" si="2"/>
        <v>787</v>
      </c>
      <c r="C50" s="33">
        <f t="shared" si="3"/>
        <v>1176</v>
      </c>
      <c r="D50" s="31">
        <v>442.0</v>
      </c>
      <c r="E50" s="31">
        <v>235.0</v>
      </c>
      <c r="F50" s="31">
        <v>42.0</v>
      </c>
      <c r="G50" s="31">
        <v>68.0</v>
      </c>
      <c r="H50" s="31">
        <v>0.0</v>
      </c>
      <c r="I50" s="31">
        <v>658.0</v>
      </c>
      <c r="J50" s="31">
        <v>362.0</v>
      </c>
      <c r="K50" s="31">
        <v>61.0</v>
      </c>
      <c r="L50" s="31">
        <v>95.0</v>
      </c>
      <c r="M50" s="31">
        <v>0.0</v>
      </c>
    </row>
    <row r="51" ht="13.5" customHeight="1">
      <c r="A51" s="31" t="s">
        <v>52</v>
      </c>
      <c r="B51" s="33">
        <f t="shared" si="2"/>
        <v>283</v>
      </c>
      <c r="C51" s="33">
        <f t="shared" si="3"/>
        <v>412</v>
      </c>
      <c r="D51" s="31">
        <v>137.0</v>
      </c>
      <c r="E51" s="31">
        <v>108.0</v>
      </c>
      <c r="F51" s="31">
        <v>23.0</v>
      </c>
      <c r="G51" s="31">
        <v>15.0</v>
      </c>
      <c r="H51" s="31">
        <v>0.0</v>
      </c>
      <c r="I51" s="31">
        <v>206.0</v>
      </c>
      <c r="J51" s="31">
        <v>153.0</v>
      </c>
      <c r="K51" s="31">
        <v>35.0</v>
      </c>
      <c r="L51" s="31">
        <v>18.0</v>
      </c>
      <c r="M51" s="31">
        <v>0.0</v>
      </c>
    </row>
    <row r="52" ht="13.5" customHeight="1">
      <c r="A52" s="31" t="s">
        <v>54</v>
      </c>
      <c r="B52" s="33">
        <f t="shared" si="2"/>
        <v>452</v>
      </c>
      <c r="C52" s="33">
        <f t="shared" si="3"/>
        <v>690</v>
      </c>
      <c r="D52" s="31">
        <v>250.0</v>
      </c>
      <c r="E52" s="31">
        <v>107.0</v>
      </c>
      <c r="F52" s="31">
        <v>21.0</v>
      </c>
      <c r="G52" s="31">
        <v>74.0</v>
      </c>
      <c r="H52" s="31">
        <v>0.0</v>
      </c>
      <c r="I52" s="31">
        <v>381.0</v>
      </c>
      <c r="J52" s="31">
        <v>176.0</v>
      </c>
      <c r="K52" s="31">
        <v>31.0</v>
      </c>
      <c r="L52" s="31">
        <v>102.0</v>
      </c>
      <c r="M52" s="31">
        <v>0.0</v>
      </c>
    </row>
    <row r="53" ht="13.5" customHeight="1">
      <c r="A53" s="17">
        <v>3754.0</v>
      </c>
      <c r="B53" s="18">
        <f t="shared" si="2"/>
        <v>229</v>
      </c>
      <c r="C53" s="18">
        <f t="shared" si="3"/>
        <v>382</v>
      </c>
      <c r="D53" s="18">
        <f t="shared" ref="D53:M53" si="5">SUM(D54:D57)</f>
        <v>124</v>
      </c>
      <c r="E53" s="18">
        <f t="shared" si="5"/>
        <v>45</v>
      </c>
      <c r="F53" s="18">
        <f t="shared" si="5"/>
        <v>13</v>
      </c>
      <c r="G53" s="18">
        <f t="shared" si="5"/>
        <v>47</v>
      </c>
      <c r="H53" s="18">
        <f t="shared" si="5"/>
        <v>0</v>
      </c>
      <c r="I53" s="18">
        <f t="shared" si="5"/>
        <v>210</v>
      </c>
      <c r="J53" s="18">
        <f t="shared" si="5"/>
        <v>81</v>
      </c>
      <c r="K53" s="18">
        <f t="shared" si="5"/>
        <v>23</v>
      </c>
      <c r="L53" s="18">
        <f t="shared" si="5"/>
        <v>68</v>
      </c>
      <c r="M53" s="18">
        <f t="shared" si="5"/>
        <v>0</v>
      </c>
    </row>
    <row r="54" ht="13.5" customHeight="1">
      <c r="A54" s="31" t="s">
        <v>75</v>
      </c>
      <c r="B54" s="33">
        <f t="shared" si="2"/>
        <v>21</v>
      </c>
      <c r="C54" s="33">
        <f t="shared" si="3"/>
        <v>57</v>
      </c>
      <c r="D54" s="31">
        <v>10.0</v>
      </c>
      <c r="E54" s="31">
        <v>7.0</v>
      </c>
      <c r="F54" s="31">
        <v>1.0</v>
      </c>
      <c r="G54" s="31">
        <v>3.0</v>
      </c>
      <c r="H54" s="31">
        <v>0.0</v>
      </c>
      <c r="I54" s="31">
        <v>26.0</v>
      </c>
      <c r="J54" s="31">
        <v>19.0</v>
      </c>
      <c r="K54" s="31">
        <v>3.0</v>
      </c>
      <c r="L54" s="31">
        <v>9.0</v>
      </c>
      <c r="M54" s="31">
        <v>0.0</v>
      </c>
      <c r="N54" s="15"/>
      <c r="O54" s="15"/>
      <c r="P54" s="15"/>
      <c r="Q54" s="15"/>
      <c r="R54" s="15"/>
      <c r="S54" s="15"/>
      <c r="T54" s="15"/>
    </row>
    <row r="55" ht="13.5" customHeight="1">
      <c r="A55" s="31" t="s">
        <v>55</v>
      </c>
      <c r="B55" s="33">
        <f t="shared" si="2"/>
        <v>17</v>
      </c>
      <c r="C55" s="33">
        <f t="shared" si="3"/>
        <v>21</v>
      </c>
      <c r="D55" s="31">
        <v>6.0</v>
      </c>
      <c r="E55" s="31">
        <v>4.0</v>
      </c>
      <c r="F55" s="31">
        <v>2.0</v>
      </c>
      <c r="G55" s="31">
        <v>5.0</v>
      </c>
      <c r="H55" s="31">
        <v>0.0</v>
      </c>
      <c r="I55" s="31">
        <v>6.0</v>
      </c>
      <c r="J55" s="31">
        <v>6.0</v>
      </c>
      <c r="K55" s="31">
        <v>3.0</v>
      </c>
      <c r="L55" s="31">
        <v>6.0</v>
      </c>
      <c r="M55" s="31">
        <v>0.0</v>
      </c>
    </row>
    <row r="56" ht="13.5" customHeight="1">
      <c r="A56" s="31" t="s">
        <v>57</v>
      </c>
      <c r="B56" s="33">
        <f t="shared" si="2"/>
        <v>146</v>
      </c>
      <c r="C56" s="33">
        <f t="shared" si="3"/>
        <v>229</v>
      </c>
      <c r="D56" s="31">
        <v>81.0</v>
      </c>
      <c r="E56" s="31">
        <v>24.0</v>
      </c>
      <c r="F56" s="31">
        <v>7.0</v>
      </c>
      <c r="G56" s="31">
        <v>34.0</v>
      </c>
      <c r="H56" s="31">
        <v>0.0</v>
      </c>
      <c r="I56" s="31">
        <v>133.0</v>
      </c>
      <c r="J56" s="31">
        <v>40.0</v>
      </c>
      <c r="K56" s="31">
        <v>11.0</v>
      </c>
      <c r="L56" s="31">
        <v>45.0</v>
      </c>
      <c r="M56" s="31">
        <v>0.0</v>
      </c>
    </row>
    <row r="57" ht="13.5" customHeight="1">
      <c r="A57" s="31" t="s">
        <v>58</v>
      </c>
      <c r="B57" s="33">
        <f t="shared" si="2"/>
        <v>45</v>
      </c>
      <c r="C57" s="33">
        <f t="shared" si="3"/>
        <v>75</v>
      </c>
      <c r="D57" s="31">
        <v>27.0</v>
      </c>
      <c r="E57" s="31">
        <v>10.0</v>
      </c>
      <c r="F57" s="31">
        <v>3.0</v>
      </c>
      <c r="G57" s="31">
        <v>5.0</v>
      </c>
      <c r="H57" s="31">
        <v>0.0</v>
      </c>
      <c r="I57" s="31">
        <v>45.0</v>
      </c>
      <c r="J57" s="31">
        <v>16.0</v>
      </c>
      <c r="K57" s="31">
        <v>6.0</v>
      </c>
      <c r="L57" s="31">
        <v>8.0</v>
      </c>
      <c r="M57" s="31">
        <v>0.0</v>
      </c>
    </row>
    <row r="58" ht="13.5" customHeight="1">
      <c r="A58" s="34">
        <v>3755.0</v>
      </c>
      <c r="B58" s="35">
        <f t="shared" si="2"/>
        <v>165</v>
      </c>
      <c r="C58" s="35">
        <f t="shared" si="3"/>
        <v>239</v>
      </c>
      <c r="D58" s="36">
        <f t="shared" ref="D58:M58" si="6">SUM(D59:D62)</f>
        <v>59</v>
      </c>
      <c r="E58" s="36">
        <f t="shared" si="6"/>
        <v>30</v>
      </c>
      <c r="F58" s="36">
        <f t="shared" si="6"/>
        <v>15</v>
      </c>
      <c r="G58" s="36">
        <f t="shared" si="6"/>
        <v>61</v>
      </c>
      <c r="H58" s="36">
        <f t="shared" si="6"/>
        <v>0</v>
      </c>
      <c r="I58" s="36">
        <f t="shared" si="6"/>
        <v>85</v>
      </c>
      <c r="J58" s="36">
        <f t="shared" si="6"/>
        <v>54</v>
      </c>
      <c r="K58" s="36">
        <f t="shared" si="6"/>
        <v>21</v>
      </c>
      <c r="L58" s="36">
        <f t="shared" si="6"/>
        <v>79</v>
      </c>
      <c r="M58" s="36">
        <f t="shared" si="6"/>
        <v>0</v>
      </c>
    </row>
    <row r="59" ht="13.5" customHeight="1">
      <c r="A59" s="31" t="s">
        <v>76</v>
      </c>
      <c r="B59" s="33">
        <f t="shared" si="2"/>
        <v>18</v>
      </c>
      <c r="C59" s="33">
        <f t="shared" si="3"/>
        <v>30</v>
      </c>
      <c r="D59" s="31">
        <v>4.0</v>
      </c>
      <c r="E59" s="31">
        <v>4.0</v>
      </c>
      <c r="F59" s="31">
        <v>1.0</v>
      </c>
      <c r="G59" s="31">
        <v>9.0</v>
      </c>
      <c r="H59" s="31">
        <v>0.0</v>
      </c>
      <c r="I59" s="31">
        <v>7.0</v>
      </c>
      <c r="J59" s="31">
        <v>10.0</v>
      </c>
      <c r="K59" s="31">
        <v>1.0</v>
      </c>
      <c r="L59" s="31">
        <v>12.0</v>
      </c>
      <c r="M59" s="31">
        <v>0.0</v>
      </c>
    </row>
    <row r="60" ht="13.5" customHeight="1">
      <c r="A60" s="31" t="s">
        <v>59</v>
      </c>
      <c r="B60" s="33">
        <f t="shared" si="2"/>
        <v>28</v>
      </c>
      <c r="C60" s="33">
        <f t="shared" si="3"/>
        <v>37</v>
      </c>
      <c r="D60" s="31">
        <v>12.0</v>
      </c>
      <c r="E60" s="31">
        <v>3.0</v>
      </c>
      <c r="F60" s="31">
        <v>2.0</v>
      </c>
      <c r="G60" s="31">
        <v>11.0</v>
      </c>
      <c r="H60" s="31">
        <v>0.0</v>
      </c>
      <c r="I60" s="31">
        <v>18.0</v>
      </c>
      <c r="J60" s="31">
        <v>4.0</v>
      </c>
      <c r="K60" s="31">
        <v>2.0</v>
      </c>
      <c r="L60" s="31">
        <v>13.0</v>
      </c>
      <c r="M60" s="31">
        <v>0.0</v>
      </c>
    </row>
    <row r="61" ht="13.5" customHeight="1">
      <c r="A61" s="31" t="s">
        <v>60</v>
      </c>
      <c r="B61" s="33">
        <f t="shared" si="2"/>
        <v>98</v>
      </c>
      <c r="C61" s="33">
        <f t="shared" si="3"/>
        <v>151</v>
      </c>
      <c r="D61" s="31">
        <v>38.0</v>
      </c>
      <c r="E61" s="31">
        <v>20.0</v>
      </c>
      <c r="F61" s="31">
        <v>9.0</v>
      </c>
      <c r="G61" s="31">
        <v>31.0</v>
      </c>
      <c r="H61" s="31">
        <v>0.0</v>
      </c>
      <c r="I61" s="31">
        <v>55.0</v>
      </c>
      <c r="J61" s="31">
        <v>37.0</v>
      </c>
      <c r="K61" s="31">
        <v>15.0</v>
      </c>
      <c r="L61" s="31">
        <v>44.0</v>
      </c>
      <c r="M61" s="31">
        <v>0.0</v>
      </c>
    </row>
    <row r="62" ht="13.5" customHeight="1">
      <c r="A62" s="31" t="s">
        <v>91</v>
      </c>
      <c r="B62" s="33">
        <f t="shared" si="2"/>
        <v>21</v>
      </c>
      <c r="C62" s="33">
        <f t="shared" si="3"/>
        <v>21</v>
      </c>
      <c r="D62" s="31">
        <v>5.0</v>
      </c>
      <c r="E62" s="31">
        <v>3.0</v>
      </c>
      <c r="F62" s="31">
        <v>3.0</v>
      </c>
      <c r="G62" s="31">
        <v>10.0</v>
      </c>
      <c r="H62" s="31">
        <v>0.0</v>
      </c>
      <c r="I62" s="31">
        <v>5.0</v>
      </c>
      <c r="J62" s="31">
        <v>3.0</v>
      </c>
      <c r="K62" s="31">
        <v>3.0</v>
      </c>
      <c r="L62" s="31">
        <v>10.0</v>
      </c>
      <c r="M62" s="31">
        <v>0.0</v>
      </c>
    </row>
    <row r="63" ht="13.5" customHeight="1">
      <c r="A63" s="20" t="s">
        <v>61</v>
      </c>
      <c r="B63" s="20">
        <f t="shared" ref="B63:C63" si="7">B4+B45+B53+B58</f>
        <v>6536</v>
      </c>
      <c r="C63" s="20">
        <f t="shared" si="7"/>
        <v>10187</v>
      </c>
      <c r="D63" s="20">
        <f t="shared" ref="D63:M63" si="8">D4+D45+D53</f>
        <v>3434</v>
      </c>
      <c r="E63" s="20">
        <f t="shared" si="8"/>
        <v>1820</v>
      </c>
      <c r="F63" s="20">
        <f t="shared" si="8"/>
        <v>360</v>
      </c>
      <c r="G63" s="20">
        <f t="shared" si="8"/>
        <v>721</v>
      </c>
      <c r="H63" s="20">
        <f t="shared" si="8"/>
        <v>36</v>
      </c>
      <c r="I63" s="20">
        <f t="shared" si="8"/>
        <v>5379</v>
      </c>
      <c r="J63" s="20">
        <f t="shared" si="8"/>
        <v>2919</v>
      </c>
      <c r="K63" s="20">
        <f t="shared" si="8"/>
        <v>575</v>
      </c>
      <c r="L63" s="20">
        <f t="shared" si="8"/>
        <v>1039</v>
      </c>
      <c r="M63" s="20">
        <f t="shared" si="8"/>
        <v>36</v>
      </c>
    </row>
    <row r="64" ht="13.5" customHeight="1"/>
    <row r="65" ht="13.5" customHeight="1">
      <c r="A65" s="21" t="s">
        <v>62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/>
    </row>
    <row r="66" ht="13.5" customHeight="1">
      <c r="A66" s="24" t="s">
        <v>63</v>
      </c>
      <c r="B66" s="25" t="s">
        <v>8</v>
      </c>
      <c r="C66" s="23"/>
      <c r="D66" s="25" t="s">
        <v>9</v>
      </c>
      <c r="E66" s="23"/>
      <c r="F66" s="25" t="s">
        <v>10</v>
      </c>
      <c r="G66" s="23"/>
      <c r="H66" s="25" t="s">
        <v>11</v>
      </c>
      <c r="I66" s="23"/>
      <c r="J66" s="25" t="s">
        <v>92</v>
      </c>
      <c r="K66" s="23"/>
      <c r="L66" s="25" t="s">
        <v>93</v>
      </c>
      <c r="M66" s="23"/>
      <c r="N66" s="26" t="s">
        <v>94</v>
      </c>
      <c r="O66" s="26" t="s">
        <v>95</v>
      </c>
    </row>
    <row r="67" ht="13.5" customHeight="1">
      <c r="A67" s="27"/>
      <c r="B67" s="26" t="s">
        <v>66</v>
      </c>
      <c r="C67" s="26" t="s">
        <v>7</v>
      </c>
      <c r="D67" s="26" t="s">
        <v>66</v>
      </c>
      <c r="E67" s="26" t="s">
        <v>7</v>
      </c>
      <c r="F67" s="26" t="s">
        <v>66</v>
      </c>
      <c r="G67" s="26" t="s">
        <v>7</v>
      </c>
      <c r="H67" s="26" t="s">
        <v>66</v>
      </c>
      <c r="I67" s="26" t="s">
        <v>7</v>
      </c>
      <c r="J67" s="26" t="s">
        <v>66</v>
      </c>
      <c r="K67" s="26" t="s">
        <v>7</v>
      </c>
      <c r="L67" s="26" t="s">
        <v>66</v>
      </c>
      <c r="M67" s="26" t="s">
        <v>7</v>
      </c>
      <c r="N67" s="26" t="s">
        <v>66</v>
      </c>
      <c r="O67" s="26" t="s">
        <v>7</v>
      </c>
    </row>
    <row r="68" ht="13.5" customHeight="1">
      <c r="A68" s="32" t="s">
        <v>77</v>
      </c>
      <c r="B68" s="32">
        <v>20.0</v>
      </c>
      <c r="C68" s="32">
        <v>37.0</v>
      </c>
      <c r="D68" s="32">
        <v>17.0</v>
      </c>
      <c r="E68" s="32">
        <v>33.0</v>
      </c>
      <c r="F68" s="32">
        <v>3.0</v>
      </c>
      <c r="G68" s="32">
        <v>5.0</v>
      </c>
      <c r="H68" s="32">
        <v>17.0</v>
      </c>
      <c r="I68" s="32">
        <v>31.0</v>
      </c>
      <c r="J68" s="32">
        <v>0.0</v>
      </c>
      <c r="K68" s="32">
        <v>0.0</v>
      </c>
      <c r="L68" s="32">
        <v>0.0</v>
      </c>
      <c r="M68" s="32">
        <v>0.0</v>
      </c>
      <c r="N68" s="32">
        <f t="shared" ref="N68:O68" si="9">B68+D68+F68+H68+J68+L68</f>
        <v>57</v>
      </c>
      <c r="O68" s="32">
        <f t="shared" si="9"/>
        <v>106</v>
      </c>
    </row>
    <row r="69" ht="13.5" customHeight="1">
      <c r="A69" s="32" t="s">
        <v>67</v>
      </c>
      <c r="B69" s="32">
        <v>3169.0</v>
      </c>
      <c r="C69" s="32">
        <v>5223.0</v>
      </c>
      <c r="D69" s="32">
        <v>1672.0</v>
      </c>
      <c r="E69" s="32">
        <v>2795.0</v>
      </c>
      <c r="F69" s="32">
        <v>346.0</v>
      </c>
      <c r="G69" s="32">
        <v>596.0</v>
      </c>
      <c r="H69" s="32">
        <v>716.0</v>
      </c>
      <c r="I69" s="32">
        <v>1073.0</v>
      </c>
      <c r="J69" s="32">
        <v>0.0</v>
      </c>
      <c r="K69" s="32">
        <v>0.0</v>
      </c>
      <c r="L69" s="32">
        <v>1.0</v>
      </c>
      <c r="M69" s="32">
        <v>1.0</v>
      </c>
      <c r="N69" s="32">
        <f t="shared" ref="N69:O69" si="10">B69+D69+F69+H69+J69+L69</f>
        <v>5904</v>
      </c>
      <c r="O69" s="32">
        <f t="shared" si="10"/>
        <v>9688</v>
      </c>
    </row>
    <row r="70" ht="13.5" customHeight="1">
      <c r="A70" s="32" t="s">
        <v>78</v>
      </c>
      <c r="B70" s="32">
        <v>0.0</v>
      </c>
      <c r="C70" s="32"/>
      <c r="D70" s="32">
        <v>1.0</v>
      </c>
      <c r="E70" s="32">
        <v>1.0</v>
      </c>
      <c r="F70" s="32">
        <v>0.0</v>
      </c>
      <c r="G70" s="32">
        <v>0.0</v>
      </c>
      <c r="H70" s="32">
        <v>4.0</v>
      </c>
      <c r="I70" s="32">
        <v>4.0</v>
      </c>
      <c r="J70" s="32">
        <v>17.0</v>
      </c>
      <c r="K70" s="32">
        <v>36.0</v>
      </c>
      <c r="L70" s="32">
        <v>0.0</v>
      </c>
      <c r="M70" s="32">
        <v>0.0</v>
      </c>
      <c r="N70" s="32">
        <f t="shared" ref="N70:O70" si="11">B70+D70+F70+H70+J70+L70</f>
        <v>22</v>
      </c>
      <c r="O70" s="32">
        <f t="shared" si="11"/>
        <v>41</v>
      </c>
    </row>
    <row r="71" ht="13.5" customHeight="1">
      <c r="A71" s="32" t="s">
        <v>68</v>
      </c>
      <c r="B71" s="32">
        <v>117.0</v>
      </c>
      <c r="C71" s="32">
        <v>247.0</v>
      </c>
      <c r="D71" s="32">
        <v>49.0</v>
      </c>
      <c r="E71" s="32">
        <v>88.0</v>
      </c>
      <c r="F71" s="32">
        <v>4.0</v>
      </c>
      <c r="G71" s="32">
        <v>5.0</v>
      </c>
      <c r="H71" s="32">
        <v>8.0</v>
      </c>
      <c r="I71" s="32">
        <v>12.0</v>
      </c>
      <c r="J71" s="32">
        <v>0.0</v>
      </c>
      <c r="K71" s="32">
        <v>0.0</v>
      </c>
      <c r="L71" s="32">
        <v>0.0</v>
      </c>
      <c r="M71" s="32">
        <v>0.0</v>
      </c>
      <c r="N71" s="32">
        <f t="shared" ref="N71:O71" si="12">B71+D71+F71+H71+J71+L71</f>
        <v>178</v>
      </c>
      <c r="O71" s="32">
        <f t="shared" si="12"/>
        <v>352</v>
      </c>
    </row>
    <row r="72" ht="13.5" customHeight="1">
      <c r="A72" s="30" t="s">
        <v>69</v>
      </c>
      <c r="B72" s="30">
        <f t="shared" ref="B72:O72" si="13">SUM(B68:B71)</f>
        <v>3306</v>
      </c>
      <c r="C72" s="30">
        <f t="shared" si="13"/>
        <v>5507</v>
      </c>
      <c r="D72" s="30">
        <f t="shared" si="13"/>
        <v>1739</v>
      </c>
      <c r="E72" s="30">
        <f t="shared" si="13"/>
        <v>2917</v>
      </c>
      <c r="F72" s="30">
        <f t="shared" si="13"/>
        <v>353</v>
      </c>
      <c r="G72" s="30">
        <f t="shared" si="13"/>
        <v>606</v>
      </c>
      <c r="H72" s="30">
        <f t="shared" si="13"/>
        <v>745</v>
      </c>
      <c r="I72" s="30">
        <f t="shared" si="13"/>
        <v>1120</v>
      </c>
      <c r="J72" s="30">
        <f t="shared" si="13"/>
        <v>17</v>
      </c>
      <c r="K72" s="30">
        <f t="shared" si="13"/>
        <v>36</v>
      </c>
      <c r="L72" s="30">
        <f t="shared" si="13"/>
        <v>1</v>
      </c>
      <c r="M72" s="30">
        <f t="shared" si="13"/>
        <v>1</v>
      </c>
      <c r="N72" s="30">
        <f t="shared" si="13"/>
        <v>6161</v>
      </c>
      <c r="O72" s="30">
        <f t="shared" si="13"/>
        <v>10187</v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D66:E66"/>
    <mergeCell ref="F66:G66"/>
    <mergeCell ref="H66:I66"/>
    <mergeCell ref="J66:K66"/>
    <mergeCell ref="A1:L1"/>
    <mergeCell ref="B2:C2"/>
    <mergeCell ref="D2:H2"/>
    <mergeCell ref="I2:L2"/>
    <mergeCell ref="A65:O65"/>
    <mergeCell ref="A66:A67"/>
    <mergeCell ref="B66:C66"/>
    <mergeCell ref="L66:M66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7.14"/>
    <col customWidth="1" min="2" max="2" width="12.86"/>
    <col customWidth="1" min="3" max="3" width="6.57"/>
    <col customWidth="1" min="4" max="4" width="12.29"/>
    <col customWidth="1" min="5" max="5" width="10.29"/>
    <col customWidth="1" min="6" max="6" width="11.0"/>
    <col customWidth="1" min="7" max="7" width="8.43"/>
    <col customWidth="1" min="8" max="8" width="6.86"/>
    <col customWidth="1" min="9" max="9" width="7.14"/>
    <col customWidth="1" min="10" max="10" width="8.0"/>
    <col customWidth="1" min="11" max="11" width="8.43"/>
    <col customWidth="1" min="12" max="12" width="12.43"/>
    <col customWidth="1" min="13" max="26" width="15.4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9.25" customHeight="1">
      <c r="A2" s="5" t="s">
        <v>1</v>
      </c>
      <c r="B2" s="6" t="s">
        <v>96</v>
      </c>
      <c r="C2" s="7"/>
      <c r="D2" s="8" t="s">
        <v>3</v>
      </c>
      <c r="E2" s="2"/>
      <c r="F2" s="2"/>
      <c r="G2" s="2"/>
      <c r="H2" s="3"/>
      <c r="I2" s="8" t="s">
        <v>4</v>
      </c>
      <c r="J2" s="2"/>
      <c r="K2" s="2"/>
      <c r="L2" s="3"/>
      <c r="M2" s="9"/>
    </row>
    <row r="3" ht="13.5" customHeight="1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ht="13.5" customHeight="1">
      <c r="A4" s="14">
        <v>3734.0</v>
      </c>
      <c r="B4" s="14">
        <f t="shared" ref="B4:M4" si="1">SUM(B5:B46)</f>
        <v>4383</v>
      </c>
      <c r="C4" s="14">
        <f t="shared" si="1"/>
        <v>6957</v>
      </c>
      <c r="D4" s="14">
        <f t="shared" si="1"/>
        <v>2334</v>
      </c>
      <c r="E4" s="14">
        <f t="shared" si="1"/>
        <v>1271</v>
      </c>
      <c r="F4" s="14">
        <f t="shared" si="1"/>
        <v>281</v>
      </c>
      <c r="G4" s="14">
        <f t="shared" si="1"/>
        <v>477</v>
      </c>
      <c r="H4" s="14">
        <f t="shared" si="1"/>
        <v>20</v>
      </c>
      <c r="I4" s="14">
        <f t="shared" si="1"/>
        <v>3693</v>
      </c>
      <c r="J4" s="14">
        <f t="shared" si="1"/>
        <v>2081</v>
      </c>
      <c r="K4" s="14">
        <f t="shared" si="1"/>
        <v>472</v>
      </c>
      <c r="L4" s="14">
        <f t="shared" si="1"/>
        <v>691</v>
      </c>
      <c r="M4" s="14">
        <f t="shared" si="1"/>
        <v>20</v>
      </c>
      <c r="N4" s="15"/>
      <c r="O4" s="15"/>
      <c r="P4" s="15"/>
      <c r="Q4" s="15"/>
      <c r="R4" s="15"/>
      <c r="S4" s="15"/>
      <c r="T4" s="15"/>
    </row>
    <row r="5" ht="13.5" customHeight="1">
      <c r="A5" s="31" t="s">
        <v>13</v>
      </c>
      <c r="B5" s="31">
        <f t="shared" ref="B5:B64" si="2">SUM(D5:H5)</f>
        <v>13</v>
      </c>
      <c r="C5" s="31">
        <f t="shared" ref="C5:C64" si="3">SUM(I5:M5)</f>
        <v>22</v>
      </c>
      <c r="D5" s="31">
        <v>8.0</v>
      </c>
      <c r="E5" s="31">
        <v>3.0</v>
      </c>
      <c r="F5" s="31">
        <v>1.0</v>
      </c>
      <c r="G5" s="31">
        <v>1.0</v>
      </c>
      <c r="H5" s="31">
        <v>0.0</v>
      </c>
      <c r="I5" s="31">
        <v>13.0</v>
      </c>
      <c r="J5" s="31">
        <v>6.0</v>
      </c>
      <c r="K5" s="31">
        <v>1.0</v>
      </c>
      <c r="L5" s="31">
        <v>2.0</v>
      </c>
      <c r="M5" s="31">
        <v>0.0</v>
      </c>
    </row>
    <row r="6" ht="13.5" customHeight="1">
      <c r="A6" s="31" t="s">
        <v>15</v>
      </c>
      <c r="B6" s="31">
        <f t="shared" si="2"/>
        <v>101</v>
      </c>
      <c r="C6" s="31">
        <f t="shared" si="3"/>
        <v>136</v>
      </c>
      <c r="D6" s="31">
        <v>52.0</v>
      </c>
      <c r="E6" s="31">
        <v>26.0</v>
      </c>
      <c r="F6" s="31">
        <v>6.0</v>
      </c>
      <c r="G6" s="31">
        <v>17.0</v>
      </c>
      <c r="H6" s="31">
        <v>0.0</v>
      </c>
      <c r="I6" s="31">
        <v>75.0</v>
      </c>
      <c r="J6" s="31">
        <v>35.0</v>
      </c>
      <c r="K6" s="31">
        <v>7.0</v>
      </c>
      <c r="L6" s="31">
        <v>19.0</v>
      </c>
      <c r="M6" s="31">
        <v>0.0</v>
      </c>
    </row>
    <row r="7" ht="13.5" customHeight="1">
      <c r="A7" s="31" t="s">
        <v>16</v>
      </c>
      <c r="B7" s="31">
        <f t="shared" si="2"/>
        <v>19</v>
      </c>
      <c r="C7" s="31">
        <f t="shared" si="3"/>
        <v>28</v>
      </c>
      <c r="D7" s="31">
        <v>7.0</v>
      </c>
      <c r="E7" s="31">
        <v>9.0</v>
      </c>
      <c r="F7" s="31">
        <v>2.0</v>
      </c>
      <c r="G7" s="31">
        <v>1.0</v>
      </c>
      <c r="H7" s="31">
        <v>0.0</v>
      </c>
      <c r="I7" s="31">
        <v>10.0</v>
      </c>
      <c r="J7" s="31">
        <v>13.0</v>
      </c>
      <c r="K7" s="31">
        <v>4.0</v>
      </c>
      <c r="L7" s="31">
        <v>1.0</v>
      </c>
      <c r="M7" s="31">
        <v>0.0</v>
      </c>
    </row>
    <row r="8" ht="13.5" customHeight="1">
      <c r="A8" s="31" t="s">
        <v>17</v>
      </c>
      <c r="B8" s="31">
        <f t="shared" si="2"/>
        <v>138</v>
      </c>
      <c r="C8" s="31">
        <f t="shared" si="3"/>
        <v>230</v>
      </c>
      <c r="D8" s="31">
        <v>64.0</v>
      </c>
      <c r="E8" s="31">
        <v>34.0</v>
      </c>
      <c r="F8" s="31">
        <v>18.0</v>
      </c>
      <c r="G8" s="31">
        <v>22.0</v>
      </c>
      <c r="H8" s="31">
        <v>0.0</v>
      </c>
      <c r="I8" s="31">
        <v>106.0</v>
      </c>
      <c r="J8" s="31">
        <v>62.0</v>
      </c>
      <c r="K8" s="31">
        <v>30.0</v>
      </c>
      <c r="L8" s="31">
        <v>32.0</v>
      </c>
      <c r="M8" s="31">
        <v>0.0</v>
      </c>
    </row>
    <row r="9" ht="13.5" customHeight="1">
      <c r="A9" s="31" t="s">
        <v>18</v>
      </c>
      <c r="B9" s="31">
        <f t="shared" si="2"/>
        <v>76</v>
      </c>
      <c r="C9" s="31">
        <f t="shared" si="3"/>
        <v>144</v>
      </c>
      <c r="D9" s="31">
        <v>25.0</v>
      </c>
      <c r="E9" s="31">
        <v>31.0</v>
      </c>
      <c r="F9" s="31">
        <v>16.0</v>
      </c>
      <c r="G9" s="31">
        <v>4.0</v>
      </c>
      <c r="H9" s="31">
        <v>0.0</v>
      </c>
      <c r="I9" s="31">
        <v>52.0</v>
      </c>
      <c r="J9" s="31">
        <v>55.0</v>
      </c>
      <c r="K9" s="31">
        <v>32.0</v>
      </c>
      <c r="L9" s="31">
        <v>5.0</v>
      </c>
      <c r="M9" s="31">
        <v>0.0</v>
      </c>
    </row>
    <row r="10" ht="13.5" customHeight="1">
      <c r="A10" s="31" t="s">
        <v>19</v>
      </c>
      <c r="B10" s="31">
        <f t="shared" si="2"/>
        <v>587</v>
      </c>
      <c r="C10" s="31">
        <f t="shared" si="3"/>
        <v>961</v>
      </c>
      <c r="D10" s="31">
        <v>332.0</v>
      </c>
      <c r="E10" s="31">
        <v>157.0</v>
      </c>
      <c r="F10" s="31">
        <v>38.0</v>
      </c>
      <c r="G10" s="31">
        <v>60.0</v>
      </c>
      <c r="H10" s="31">
        <v>0.0</v>
      </c>
      <c r="I10" s="31">
        <v>529.0</v>
      </c>
      <c r="J10" s="31">
        <v>271.0</v>
      </c>
      <c r="K10" s="31">
        <v>63.0</v>
      </c>
      <c r="L10" s="31">
        <v>98.0</v>
      </c>
      <c r="M10" s="31">
        <v>0.0</v>
      </c>
    </row>
    <row r="11" ht="13.5" customHeight="1">
      <c r="A11" s="31" t="s">
        <v>20</v>
      </c>
      <c r="B11" s="31">
        <f t="shared" si="2"/>
        <v>28</v>
      </c>
      <c r="C11" s="31">
        <f t="shared" si="3"/>
        <v>47</v>
      </c>
      <c r="D11" s="31">
        <v>18.0</v>
      </c>
      <c r="E11" s="31">
        <v>3.0</v>
      </c>
      <c r="F11" s="31">
        <v>0.0</v>
      </c>
      <c r="G11" s="31">
        <v>7.0</v>
      </c>
      <c r="H11" s="31">
        <v>0.0</v>
      </c>
      <c r="I11" s="31">
        <v>32.0</v>
      </c>
      <c r="J11" s="31">
        <v>5.0</v>
      </c>
      <c r="K11" s="31">
        <v>0.0</v>
      </c>
      <c r="L11" s="31">
        <v>10.0</v>
      </c>
      <c r="M11" s="31">
        <v>0.0</v>
      </c>
    </row>
    <row r="12" ht="13.5" customHeight="1">
      <c r="A12" s="31" t="s">
        <v>97</v>
      </c>
      <c r="B12" s="31">
        <f t="shared" si="2"/>
        <v>41</v>
      </c>
      <c r="C12" s="31">
        <f t="shared" si="3"/>
        <v>42</v>
      </c>
      <c r="D12" s="31">
        <v>23.0</v>
      </c>
      <c r="E12" s="31">
        <v>10.0</v>
      </c>
      <c r="F12" s="31">
        <v>4.0</v>
      </c>
      <c r="G12" s="31">
        <v>4.0</v>
      </c>
      <c r="H12" s="31">
        <v>0.0</v>
      </c>
      <c r="I12" s="31">
        <v>23.0</v>
      </c>
      <c r="J12" s="31">
        <v>10.0</v>
      </c>
      <c r="K12" s="31">
        <v>4.0</v>
      </c>
      <c r="L12" s="31">
        <v>5.0</v>
      </c>
      <c r="M12" s="31">
        <v>0.0</v>
      </c>
    </row>
    <row r="13" ht="13.5" customHeight="1">
      <c r="A13" s="31" t="s">
        <v>21</v>
      </c>
      <c r="B13" s="31">
        <f t="shared" si="2"/>
        <v>467</v>
      </c>
      <c r="C13" s="31">
        <f t="shared" si="3"/>
        <v>757</v>
      </c>
      <c r="D13" s="31">
        <v>291.0</v>
      </c>
      <c r="E13" s="31">
        <v>120.0</v>
      </c>
      <c r="F13" s="31">
        <v>18.0</v>
      </c>
      <c r="G13" s="31">
        <v>38.0</v>
      </c>
      <c r="H13" s="31">
        <v>0.0</v>
      </c>
      <c r="I13" s="31">
        <v>472.0</v>
      </c>
      <c r="J13" s="31">
        <v>198.0</v>
      </c>
      <c r="K13" s="31">
        <v>35.0</v>
      </c>
      <c r="L13" s="31">
        <v>52.0</v>
      </c>
      <c r="M13" s="31">
        <v>0.0</v>
      </c>
    </row>
    <row r="14" ht="13.5" customHeight="1">
      <c r="A14" s="31" t="s">
        <v>22</v>
      </c>
      <c r="B14" s="31">
        <f t="shared" si="2"/>
        <v>171</v>
      </c>
      <c r="C14" s="31">
        <f t="shared" si="3"/>
        <v>279</v>
      </c>
      <c r="D14" s="31">
        <v>92.0</v>
      </c>
      <c r="E14" s="31">
        <v>54.0</v>
      </c>
      <c r="F14" s="31">
        <v>9.0</v>
      </c>
      <c r="G14" s="31">
        <v>16.0</v>
      </c>
      <c r="H14" s="31">
        <v>0.0</v>
      </c>
      <c r="I14" s="31">
        <v>149.0</v>
      </c>
      <c r="J14" s="31">
        <v>88.0</v>
      </c>
      <c r="K14" s="31">
        <v>17.0</v>
      </c>
      <c r="L14" s="31">
        <v>25.0</v>
      </c>
      <c r="M14" s="31">
        <v>0.0</v>
      </c>
    </row>
    <row r="15" ht="13.5" customHeight="1">
      <c r="A15" s="31" t="s">
        <v>23</v>
      </c>
      <c r="B15" s="31">
        <f t="shared" si="2"/>
        <v>83</v>
      </c>
      <c r="C15" s="31">
        <f t="shared" si="3"/>
        <v>158</v>
      </c>
      <c r="D15" s="31">
        <v>37.0</v>
      </c>
      <c r="E15" s="31">
        <v>24.0</v>
      </c>
      <c r="F15" s="31">
        <v>8.0</v>
      </c>
      <c r="G15" s="31">
        <v>14.0</v>
      </c>
      <c r="H15" s="31">
        <v>0.0</v>
      </c>
      <c r="I15" s="31">
        <v>70.0</v>
      </c>
      <c r="J15" s="31">
        <v>49.0</v>
      </c>
      <c r="K15" s="31">
        <v>13.0</v>
      </c>
      <c r="L15" s="31">
        <v>26.0</v>
      </c>
      <c r="M15" s="31">
        <v>0.0</v>
      </c>
    </row>
    <row r="16" ht="13.5" customHeight="1">
      <c r="A16" s="31" t="s">
        <v>24</v>
      </c>
      <c r="B16" s="31">
        <f t="shared" si="2"/>
        <v>41</v>
      </c>
      <c r="C16" s="31">
        <f t="shared" si="3"/>
        <v>88</v>
      </c>
      <c r="D16" s="31">
        <v>22.0</v>
      </c>
      <c r="E16" s="31">
        <v>9.0</v>
      </c>
      <c r="F16" s="31">
        <v>5.0</v>
      </c>
      <c r="G16" s="31">
        <v>5.0</v>
      </c>
      <c r="H16" s="31">
        <v>0.0</v>
      </c>
      <c r="I16" s="31">
        <v>54.0</v>
      </c>
      <c r="J16" s="31">
        <v>15.0</v>
      </c>
      <c r="K16" s="31">
        <v>12.0</v>
      </c>
      <c r="L16" s="31">
        <v>7.0</v>
      </c>
      <c r="M16" s="31">
        <v>0.0</v>
      </c>
    </row>
    <row r="17" ht="13.5" customHeight="1">
      <c r="A17" s="31" t="s">
        <v>25</v>
      </c>
      <c r="B17" s="31">
        <f t="shared" si="2"/>
        <v>208</v>
      </c>
      <c r="C17" s="31">
        <f t="shared" si="3"/>
        <v>312</v>
      </c>
      <c r="D17" s="31">
        <v>116.0</v>
      </c>
      <c r="E17" s="31">
        <v>46.0</v>
      </c>
      <c r="F17" s="31">
        <v>15.0</v>
      </c>
      <c r="G17" s="31">
        <v>31.0</v>
      </c>
      <c r="H17" s="31">
        <v>0.0</v>
      </c>
      <c r="I17" s="31">
        <v>172.0</v>
      </c>
      <c r="J17" s="31">
        <v>72.0</v>
      </c>
      <c r="K17" s="31">
        <v>25.0</v>
      </c>
      <c r="L17" s="31">
        <v>43.0</v>
      </c>
      <c r="M17" s="31">
        <v>0.0</v>
      </c>
    </row>
    <row r="18" ht="13.5" customHeight="1">
      <c r="A18" s="31" t="s">
        <v>26</v>
      </c>
      <c r="B18" s="31">
        <f t="shared" si="2"/>
        <v>97</v>
      </c>
      <c r="C18" s="31">
        <f t="shared" si="3"/>
        <v>160</v>
      </c>
      <c r="D18" s="31">
        <v>41.0</v>
      </c>
      <c r="E18" s="31">
        <v>38.0</v>
      </c>
      <c r="F18" s="31">
        <v>4.0</v>
      </c>
      <c r="G18" s="31">
        <v>14.0</v>
      </c>
      <c r="H18" s="31">
        <v>0.0</v>
      </c>
      <c r="I18" s="31">
        <v>67.0</v>
      </c>
      <c r="J18" s="31">
        <v>65.0</v>
      </c>
      <c r="K18" s="31">
        <v>7.0</v>
      </c>
      <c r="L18" s="31">
        <v>21.0</v>
      </c>
      <c r="M18" s="31">
        <v>0.0</v>
      </c>
    </row>
    <row r="19" ht="13.5" customHeight="1">
      <c r="A19" s="31" t="s">
        <v>27</v>
      </c>
      <c r="B19" s="31">
        <f t="shared" si="2"/>
        <v>117</v>
      </c>
      <c r="C19" s="31">
        <f t="shared" si="3"/>
        <v>211</v>
      </c>
      <c r="D19" s="31">
        <v>70.0</v>
      </c>
      <c r="E19" s="31">
        <v>32.0</v>
      </c>
      <c r="F19" s="31">
        <v>5.0</v>
      </c>
      <c r="G19" s="31">
        <v>10.0</v>
      </c>
      <c r="H19" s="31">
        <v>0.0</v>
      </c>
      <c r="I19" s="31">
        <v>124.0</v>
      </c>
      <c r="J19" s="31">
        <v>60.0</v>
      </c>
      <c r="K19" s="31">
        <v>10.0</v>
      </c>
      <c r="L19" s="31">
        <v>17.0</v>
      </c>
      <c r="M19" s="31">
        <v>0.0</v>
      </c>
    </row>
    <row r="20" ht="13.5" customHeight="1">
      <c r="A20" s="31" t="s">
        <v>28</v>
      </c>
      <c r="B20" s="31">
        <f t="shared" si="2"/>
        <v>94</v>
      </c>
      <c r="C20" s="31">
        <f t="shared" si="3"/>
        <v>110</v>
      </c>
      <c r="D20" s="31">
        <v>65.0</v>
      </c>
      <c r="E20" s="31">
        <v>24.0</v>
      </c>
      <c r="F20" s="31">
        <v>2.0</v>
      </c>
      <c r="G20" s="31">
        <v>3.0</v>
      </c>
      <c r="H20" s="31">
        <v>0.0</v>
      </c>
      <c r="I20" s="31">
        <v>75.0</v>
      </c>
      <c r="J20" s="31">
        <v>30.0</v>
      </c>
      <c r="K20" s="31">
        <v>2.0</v>
      </c>
      <c r="L20" s="31">
        <v>3.0</v>
      </c>
      <c r="M20" s="31">
        <v>0.0</v>
      </c>
    </row>
    <row r="21" ht="13.5" customHeight="1">
      <c r="A21" s="31" t="s">
        <v>29</v>
      </c>
      <c r="B21" s="31">
        <f t="shared" si="2"/>
        <v>63</v>
      </c>
      <c r="C21" s="31">
        <f t="shared" si="3"/>
        <v>88</v>
      </c>
      <c r="D21" s="31">
        <v>43.0</v>
      </c>
      <c r="E21" s="31">
        <v>12.0</v>
      </c>
      <c r="F21" s="31">
        <v>2.0</v>
      </c>
      <c r="G21" s="31">
        <v>6.0</v>
      </c>
      <c r="H21" s="31">
        <v>0.0</v>
      </c>
      <c r="I21" s="31">
        <v>62.0</v>
      </c>
      <c r="J21" s="31">
        <v>18.0</v>
      </c>
      <c r="K21" s="31">
        <v>2.0</v>
      </c>
      <c r="L21" s="31">
        <v>6.0</v>
      </c>
      <c r="M21" s="31">
        <v>0.0</v>
      </c>
    </row>
    <row r="22" ht="13.5" customHeight="1">
      <c r="A22" s="31" t="s">
        <v>71</v>
      </c>
      <c r="B22" s="31">
        <f t="shared" si="2"/>
        <v>64</v>
      </c>
      <c r="C22" s="31">
        <f t="shared" si="3"/>
        <v>64</v>
      </c>
      <c r="D22" s="31">
        <v>16.0</v>
      </c>
      <c r="E22" s="31">
        <v>10.0</v>
      </c>
      <c r="F22" s="31">
        <v>7.0</v>
      </c>
      <c r="G22" s="31">
        <v>30.0</v>
      </c>
      <c r="H22" s="31">
        <v>1.0</v>
      </c>
      <c r="I22" s="31">
        <v>16.0</v>
      </c>
      <c r="J22" s="31">
        <v>10.0</v>
      </c>
      <c r="K22" s="31">
        <v>7.0</v>
      </c>
      <c r="L22" s="31">
        <v>30.0</v>
      </c>
      <c r="M22" s="31">
        <v>1.0</v>
      </c>
    </row>
    <row r="23" ht="13.5" customHeight="1">
      <c r="A23" s="31" t="s">
        <v>86</v>
      </c>
      <c r="B23" s="31">
        <f t="shared" si="2"/>
        <v>1</v>
      </c>
      <c r="C23" s="31">
        <f t="shared" si="3"/>
        <v>1</v>
      </c>
      <c r="D23" s="31">
        <v>0.0</v>
      </c>
      <c r="E23" s="31">
        <v>0.0</v>
      </c>
      <c r="F23" s="31">
        <v>0.0</v>
      </c>
      <c r="G23" s="31">
        <v>0.0</v>
      </c>
      <c r="H23" s="31">
        <v>1.0</v>
      </c>
      <c r="I23" s="31">
        <v>0.0</v>
      </c>
      <c r="J23" s="31">
        <v>0.0</v>
      </c>
      <c r="K23" s="31">
        <v>0.0</v>
      </c>
      <c r="L23" s="31">
        <v>0.0</v>
      </c>
      <c r="M23" s="31">
        <v>1.0</v>
      </c>
    </row>
    <row r="24" ht="13.5" customHeight="1">
      <c r="A24" s="31" t="s">
        <v>88</v>
      </c>
      <c r="B24" s="31">
        <f t="shared" si="2"/>
        <v>1</v>
      </c>
      <c r="C24" s="31">
        <f t="shared" si="3"/>
        <v>1</v>
      </c>
      <c r="D24" s="31">
        <v>0.0</v>
      </c>
      <c r="E24" s="31">
        <v>0.0</v>
      </c>
      <c r="F24" s="31">
        <v>0.0</v>
      </c>
      <c r="G24" s="31">
        <v>0.0</v>
      </c>
      <c r="H24" s="31">
        <v>1.0</v>
      </c>
      <c r="I24" s="31">
        <v>0.0</v>
      </c>
      <c r="J24" s="31">
        <v>0.0</v>
      </c>
      <c r="K24" s="31">
        <v>0.0</v>
      </c>
      <c r="L24" s="31">
        <v>0.0</v>
      </c>
      <c r="M24" s="31">
        <v>1.0</v>
      </c>
    </row>
    <row r="25" ht="13.5" customHeight="1">
      <c r="A25" s="31" t="s">
        <v>72</v>
      </c>
      <c r="B25" s="31">
        <f t="shared" si="2"/>
        <v>3</v>
      </c>
      <c r="C25" s="31">
        <f t="shared" si="3"/>
        <v>3</v>
      </c>
      <c r="D25" s="31">
        <v>1.0</v>
      </c>
      <c r="E25" s="31">
        <v>0.0</v>
      </c>
      <c r="F25" s="31">
        <v>0.0</v>
      </c>
      <c r="G25" s="31">
        <v>0.0</v>
      </c>
      <c r="H25" s="31">
        <v>2.0</v>
      </c>
      <c r="I25" s="31">
        <v>1.0</v>
      </c>
      <c r="J25" s="31">
        <v>0.0</v>
      </c>
      <c r="K25" s="31">
        <v>0.0</v>
      </c>
      <c r="L25" s="31">
        <v>0.0</v>
      </c>
      <c r="M25" s="31">
        <v>2.0</v>
      </c>
    </row>
    <row r="26" ht="13.5" customHeight="1">
      <c r="A26" s="31" t="s">
        <v>80</v>
      </c>
      <c r="B26" s="31">
        <f t="shared" si="2"/>
        <v>4</v>
      </c>
      <c r="C26" s="31">
        <f t="shared" si="3"/>
        <v>4</v>
      </c>
      <c r="D26" s="31">
        <v>0.0</v>
      </c>
      <c r="E26" s="31">
        <v>0.0</v>
      </c>
      <c r="F26" s="31">
        <v>0.0</v>
      </c>
      <c r="G26" s="31">
        <v>0.0</v>
      </c>
      <c r="H26" s="31">
        <v>4.0</v>
      </c>
      <c r="I26" s="31">
        <v>0.0</v>
      </c>
      <c r="J26" s="31">
        <v>0.0</v>
      </c>
      <c r="K26" s="31">
        <v>0.0</v>
      </c>
      <c r="L26" s="31">
        <v>0.0</v>
      </c>
      <c r="M26" s="31">
        <v>4.0</v>
      </c>
    </row>
    <row r="27" ht="13.5" customHeight="1">
      <c r="A27" s="31" t="s">
        <v>73</v>
      </c>
      <c r="B27" s="31">
        <f t="shared" si="2"/>
        <v>2</v>
      </c>
      <c r="C27" s="31">
        <f t="shared" si="3"/>
        <v>2</v>
      </c>
      <c r="D27" s="31">
        <v>0.0</v>
      </c>
      <c r="E27" s="31">
        <v>0.0</v>
      </c>
      <c r="F27" s="31">
        <v>0.0</v>
      </c>
      <c r="G27" s="31">
        <v>0.0</v>
      </c>
      <c r="H27" s="31">
        <v>2.0</v>
      </c>
      <c r="I27" s="31">
        <v>0.0</v>
      </c>
      <c r="J27" s="31">
        <v>0.0</v>
      </c>
      <c r="K27" s="31">
        <v>0.0</v>
      </c>
      <c r="L27" s="31">
        <v>0.0</v>
      </c>
      <c r="M27" s="31">
        <v>2.0</v>
      </c>
    </row>
    <row r="28" ht="13.5" customHeight="1">
      <c r="A28" s="31" t="s">
        <v>98</v>
      </c>
      <c r="B28" s="31">
        <f t="shared" si="2"/>
        <v>1</v>
      </c>
      <c r="C28" s="31">
        <f t="shared" si="3"/>
        <v>1</v>
      </c>
      <c r="D28" s="31">
        <v>0.0</v>
      </c>
      <c r="E28" s="31">
        <v>0.0</v>
      </c>
      <c r="F28" s="31">
        <v>0.0</v>
      </c>
      <c r="G28" s="31">
        <v>0.0</v>
      </c>
      <c r="H28" s="31">
        <v>1.0</v>
      </c>
      <c r="I28" s="31">
        <v>0.0</v>
      </c>
      <c r="J28" s="31">
        <v>0.0</v>
      </c>
      <c r="K28" s="31">
        <v>0.0</v>
      </c>
      <c r="L28" s="31">
        <v>0.0</v>
      </c>
      <c r="M28" s="31">
        <v>1.0</v>
      </c>
    </row>
    <row r="29" ht="13.5" customHeight="1">
      <c r="A29" s="31" t="s">
        <v>81</v>
      </c>
      <c r="B29" s="31">
        <f t="shared" si="2"/>
        <v>4</v>
      </c>
      <c r="C29" s="31">
        <f t="shared" si="3"/>
        <v>4</v>
      </c>
      <c r="D29" s="31">
        <v>0.0</v>
      </c>
      <c r="E29" s="31">
        <v>1.0</v>
      </c>
      <c r="F29" s="31">
        <v>1.0</v>
      </c>
      <c r="G29" s="31">
        <v>0.0</v>
      </c>
      <c r="H29" s="31">
        <v>2.0</v>
      </c>
      <c r="I29" s="31">
        <v>0.0</v>
      </c>
      <c r="J29" s="31">
        <v>1.0</v>
      </c>
      <c r="K29" s="31">
        <v>1.0</v>
      </c>
      <c r="L29" s="31">
        <v>0.0</v>
      </c>
      <c r="M29" s="31">
        <v>2.0</v>
      </c>
    </row>
    <row r="30" ht="13.5" customHeight="1">
      <c r="A30" s="31" t="s">
        <v>82</v>
      </c>
      <c r="B30" s="31">
        <f t="shared" si="2"/>
        <v>2</v>
      </c>
      <c r="C30" s="31">
        <f t="shared" si="3"/>
        <v>2</v>
      </c>
      <c r="D30" s="31">
        <v>0.0</v>
      </c>
      <c r="E30" s="31">
        <v>0.0</v>
      </c>
      <c r="F30" s="31">
        <v>1.0</v>
      </c>
      <c r="G30" s="31">
        <v>0.0</v>
      </c>
      <c r="H30" s="31">
        <v>1.0</v>
      </c>
      <c r="I30" s="31">
        <v>0.0</v>
      </c>
      <c r="J30" s="31">
        <v>0.0</v>
      </c>
      <c r="K30" s="31">
        <v>1.0</v>
      </c>
      <c r="L30" s="31">
        <v>0.0</v>
      </c>
      <c r="M30" s="31">
        <v>1.0</v>
      </c>
    </row>
    <row r="31" ht="13.5" customHeight="1">
      <c r="A31" s="31" t="s">
        <v>90</v>
      </c>
      <c r="B31" s="31">
        <f t="shared" si="2"/>
        <v>2</v>
      </c>
      <c r="C31" s="31">
        <f t="shared" si="3"/>
        <v>2</v>
      </c>
      <c r="D31" s="31">
        <v>0.0</v>
      </c>
      <c r="E31" s="31">
        <v>0.0</v>
      </c>
      <c r="F31" s="31">
        <v>0.0</v>
      </c>
      <c r="G31" s="31">
        <v>0.0</v>
      </c>
      <c r="H31" s="31">
        <v>2.0</v>
      </c>
      <c r="I31" s="31">
        <v>0.0</v>
      </c>
      <c r="J31" s="31">
        <v>0.0</v>
      </c>
      <c r="K31" s="31">
        <v>0.0</v>
      </c>
      <c r="L31" s="31">
        <v>0.0</v>
      </c>
      <c r="M31" s="31">
        <v>2.0</v>
      </c>
    </row>
    <row r="32" ht="13.5" customHeight="1">
      <c r="A32" s="31" t="s">
        <v>99</v>
      </c>
      <c r="B32" s="31">
        <f t="shared" si="2"/>
        <v>1</v>
      </c>
      <c r="C32" s="31">
        <f t="shared" si="3"/>
        <v>1</v>
      </c>
      <c r="D32" s="31">
        <v>0.0</v>
      </c>
      <c r="E32" s="31">
        <v>0.0</v>
      </c>
      <c r="F32" s="31">
        <v>0.0</v>
      </c>
      <c r="G32" s="31">
        <v>0.0</v>
      </c>
      <c r="H32" s="31">
        <v>1.0</v>
      </c>
      <c r="I32" s="31">
        <v>0.0</v>
      </c>
      <c r="J32" s="31">
        <v>0.0</v>
      </c>
      <c r="K32" s="31">
        <v>0.0</v>
      </c>
      <c r="L32" s="31">
        <v>0.0</v>
      </c>
      <c r="M32" s="31">
        <v>1.0</v>
      </c>
    </row>
    <row r="33" ht="13.5" customHeight="1">
      <c r="A33" s="31" t="s">
        <v>83</v>
      </c>
      <c r="B33" s="31">
        <f t="shared" si="2"/>
        <v>2</v>
      </c>
      <c r="C33" s="31">
        <f t="shared" si="3"/>
        <v>2</v>
      </c>
      <c r="D33" s="31">
        <v>0.0</v>
      </c>
      <c r="E33" s="31">
        <v>0.0</v>
      </c>
      <c r="F33" s="31">
        <v>0.0</v>
      </c>
      <c r="G33" s="31">
        <v>0.0</v>
      </c>
      <c r="H33" s="31">
        <v>2.0</v>
      </c>
      <c r="I33" s="31">
        <v>0.0</v>
      </c>
      <c r="J33" s="31">
        <v>0.0</v>
      </c>
      <c r="K33" s="31">
        <v>0.0</v>
      </c>
      <c r="L33" s="31">
        <v>0.0</v>
      </c>
      <c r="M33" s="31">
        <v>2.0</v>
      </c>
    </row>
    <row r="34" ht="13.5" customHeight="1">
      <c r="A34" s="31" t="s">
        <v>30</v>
      </c>
      <c r="B34" s="31">
        <f t="shared" si="2"/>
        <v>46</v>
      </c>
      <c r="C34" s="31">
        <f t="shared" si="3"/>
        <v>72</v>
      </c>
      <c r="D34" s="31">
        <v>21.0</v>
      </c>
      <c r="E34" s="31">
        <v>21.0</v>
      </c>
      <c r="F34" s="31">
        <v>3.0</v>
      </c>
      <c r="G34" s="31">
        <v>1.0</v>
      </c>
      <c r="H34" s="31">
        <v>0.0</v>
      </c>
      <c r="I34" s="31">
        <v>33.0</v>
      </c>
      <c r="J34" s="31">
        <v>32.0</v>
      </c>
      <c r="K34" s="31">
        <v>5.0</v>
      </c>
      <c r="L34" s="31">
        <v>2.0</v>
      </c>
      <c r="M34" s="31">
        <v>0.0</v>
      </c>
    </row>
    <row r="35" ht="13.5" customHeight="1">
      <c r="A35" s="31" t="s">
        <v>31</v>
      </c>
      <c r="B35" s="31">
        <f t="shared" si="2"/>
        <v>21</v>
      </c>
      <c r="C35" s="31">
        <f t="shared" si="3"/>
        <v>31</v>
      </c>
      <c r="D35" s="31">
        <v>12.0</v>
      </c>
      <c r="E35" s="31">
        <v>5.0</v>
      </c>
      <c r="F35" s="31">
        <v>3.0</v>
      </c>
      <c r="G35" s="31">
        <v>1.0</v>
      </c>
      <c r="H35" s="31">
        <v>0.0</v>
      </c>
      <c r="I35" s="31">
        <v>17.0</v>
      </c>
      <c r="J35" s="31">
        <v>8.0</v>
      </c>
      <c r="K35" s="31">
        <v>5.0</v>
      </c>
      <c r="L35" s="31">
        <v>1.0</v>
      </c>
      <c r="M35" s="31">
        <v>0.0</v>
      </c>
    </row>
    <row r="36" ht="13.5" customHeight="1">
      <c r="A36" s="31" t="s">
        <v>32</v>
      </c>
      <c r="B36" s="31">
        <f t="shared" si="2"/>
        <v>79</v>
      </c>
      <c r="C36" s="31">
        <f t="shared" si="3"/>
        <v>119</v>
      </c>
      <c r="D36" s="31">
        <v>41.0</v>
      </c>
      <c r="E36" s="31">
        <v>19.0</v>
      </c>
      <c r="F36" s="31">
        <v>9.0</v>
      </c>
      <c r="G36" s="31">
        <v>10.0</v>
      </c>
      <c r="H36" s="31">
        <v>0.0</v>
      </c>
      <c r="I36" s="31">
        <v>61.0</v>
      </c>
      <c r="J36" s="31">
        <v>30.0</v>
      </c>
      <c r="K36" s="31">
        <v>13.0</v>
      </c>
      <c r="L36" s="31">
        <v>15.0</v>
      </c>
      <c r="M36" s="31">
        <v>0.0</v>
      </c>
    </row>
    <row r="37" ht="13.5" customHeight="1">
      <c r="A37" s="31" t="s">
        <v>33</v>
      </c>
      <c r="B37" s="31">
        <f t="shared" si="2"/>
        <v>908</v>
      </c>
      <c r="C37" s="31">
        <f t="shared" si="3"/>
        <v>1402</v>
      </c>
      <c r="D37" s="31">
        <v>540.0</v>
      </c>
      <c r="E37" s="31">
        <v>244.0</v>
      </c>
      <c r="F37" s="31">
        <v>42.0</v>
      </c>
      <c r="G37" s="31">
        <v>82.0</v>
      </c>
      <c r="H37" s="31">
        <v>0.0</v>
      </c>
      <c r="I37" s="31">
        <v>828.0</v>
      </c>
      <c r="J37" s="31">
        <v>386.0</v>
      </c>
      <c r="K37" s="31">
        <v>72.0</v>
      </c>
      <c r="L37" s="31">
        <v>116.0</v>
      </c>
      <c r="M37" s="31">
        <v>0.0</v>
      </c>
    </row>
    <row r="38" ht="13.5" customHeight="1">
      <c r="A38" s="31" t="s">
        <v>35</v>
      </c>
      <c r="B38" s="31">
        <f t="shared" si="2"/>
        <v>358</v>
      </c>
      <c r="C38" s="31">
        <f t="shared" si="3"/>
        <v>554</v>
      </c>
      <c r="D38" s="31">
        <v>152.0</v>
      </c>
      <c r="E38" s="31">
        <v>132.0</v>
      </c>
      <c r="F38" s="31">
        <v>13.0</v>
      </c>
      <c r="G38" s="31">
        <v>61.0</v>
      </c>
      <c r="H38" s="31">
        <v>0.0</v>
      </c>
      <c r="I38" s="31">
        <v>230.0</v>
      </c>
      <c r="J38" s="31">
        <v>208.0</v>
      </c>
      <c r="K38" s="31">
        <v>23.0</v>
      </c>
      <c r="L38" s="31">
        <v>93.0</v>
      </c>
      <c r="M38" s="31">
        <v>0.0</v>
      </c>
    </row>
    <row r="39" ht="13.5" customHeight="1">
      <c r="A39" s="31" t="s">
        <v>36</v>
      </c>
      <c r="B39" s="31">
        <f t="shared" si="2"/>
        <v>42</v>
      </c>
      <c r="C39" s="31">
        <f t="shared" si="3"/>
        <v>54</v>
      </c>
      <c r="D39" s="31">
        <v>14.0</v>
      </c>
      <c r="E39" s="31">
        <v>19.0</v>
      </c>
      <c r="F39" s="31">
        <v>5.0</v>
      </c>
      <c r="G39" s="31">
        <v>4.0</v>
      </c>
      <c r="H39" s="31">
        <v>0.0</v>
      </c>
      <c r="I39" s="31">
        <v>21.0</v>
      </c>
      <c r="J39" s="31">
        <v>22.0</v>
      </c>
      <c r="K39" s="31">
        <v>7.0</v>
      </c>
      <c r="L39" s="31">
        <v>4.0</v>
      </c>
      <c r="M39" s="31">
        <v>0.0</v>
      </c>
    </row>
    <row r="40" ht="13.5" customHeight="1">
      <c r="A40" s="31" t="s">
        <v>37</v>
      </c>
      <c r="B40" s="31">
        <f t="shared" si="2"/>
        <v>212</v>
      </c>
      <c r="C40" s="31">
        <f t="shared" si="3"/>
        <v>320</v>
      </c>
      <c r="D40" s="31">
        <v>107.0</v>
      </c>
      <c r="E40" s="31">
        <v>81.0</v>
      </c>
      <c r="F40" s="31">
        <v>8.0</v>
      </c>
      <c r="G40" s="31">
        <v>16.0</v>
      </c>
      <c r="H40" s="31">
        <v>0.0</v>
      </c>
      <c r="I40" s="31">
        <v>161.0</v>
      </c>
      <c r="J40" s="31">
        <v>124.0</v>
      </c>
      <c r="K40" s="31">
        <v>9.0</v>
      </c>
      <c r="L40" s="31">
        <v>26.0</v>
      </c>
      <c r="M40" s="31">
        <v>0.0</v>
      </c>
    </row>
    <row r="41" ht="13.5" customHeight="1">
      <c r="A41" s="31" t="s">
        <v>38</v>
      </c>
      <c r="B41" s="31">
        <f t="shared" si="2"/>
        <v>46</v>
      </c>
      <c r="C41" s="31">
        <f t="shared" si="3"/>
        <v>128</v>
      </c>
      <c r="D41" s="31">
        <v>24.0</v>
      </c>
      <c r="E41" s="31">
        <v>17.0</v>
      </c>
      <c r="F41" s="31">
        <v>2.0</v>
      </c>
      <c r="G41" s="31">
        <v>3.0</v>
      </c>
      <c r="H41" s="31">
        <v>0.0</v>
      </c>
      <c r="I41" s="31">
        <v>79.0</v>
      </c>
      <c r="J41" s="31">
        <v>39.0</v>
      </c>
      <c r="K41" s="31">
        <v>4.0</v>
      </c>
      <c r="L41" s="31">
        <v>6.0</v>
      </c>
      <c r="M41" s="31">
        <v>0.0</v>
      </c>
    </row>
    <row r="42" ht="13.5" customHeight="1">
      <c r="A42" s="31" t="s">
        <v>42</v>
      </c>
      <c r="B42" s="31">
        <f t="shared" si="2"/>
        <v>34</v>
      </c>
      <c r="C42" s="31">
        <f t="shared" si="3"/>
        <v>57</v>
      </c>
      <c r="D42" s="31">
        <v>23.0</v>
      </c>
      <c r="E42" s="31">
        <v>6.0</v>
      </c>
      <c r="F42" s="31">
        <v>1.0</v>
      </c>
      <c r="G42" s="31">
        <v>4.0</v>
      </c>
      <c r="H42" s="31">
        <v>0.0</v>
      </c>
      <c r="I42" s="31">
        <v>37.0</v>
      </c>
      <c r="J42" s="31">
        <v>10.0</v>
      </c>
      <c r="K42" s="31">
        <v>2.0</v>
      </c>
      <c r="L42" s="31">
        <v>8.0</v>
      </c>
      <c r="M42" s="31">
        <v>0.0</v>
      </c>
    </row>
    <row r="43" ht="13.5" customHeight="1">
      <c r="A43" s="31" t="s">
        <v>43</v>
      </c>
      <c r="B43" s="31">
        <f t="shared" si="2"/>
        <v>125</v>
      </c>
      <c r="C43" s="31">
        <f t="shared" si="3"/>
        <v>225</v>
      </c>
      <c r="D43" s="31">
        <v>33.0</v>
      </c>
      <c r="E43" s="31">
        <v>57.0</v>
      </c>
      <c r="F43" s="31">
        <v>26.0</v>
      </c>
      <c r="G43" s="31">
        <v>9.0</v>
      </c>
      <c r="H43" s="31">
        <v>0.0</v>
      </c>
      <c r="I43" s="31">
        <v>52.0</v>
      </c>
      <c r="J43" s="31">
        <v>112.0</v>
      </c>
      <c r="K43" s="31">
        <v>48.0</v>
      </c>
      <c r="L43" s="31">
        <v>13.0</v>
      </c>
      <c r="M43" s="31">
        <v>0.0</v>
      </c>
    </row>
    <row r="44" ht="13.5" customHeight="1">
      <c r="A44" s="31" t="s">
        <v>44</v>
      </c>
      <c r="B44" s="31">
        <f t="shared" si="2"/>
        <v>5</v>
      </c>
      <c r="C44" s="31">
        <f t="shared" si="3"/>
        <v>9</v>
      </c>
      <c r="D44" s="31">
        <v>3.0</v>
      </c>
      <c r="E44" s="31">
        <v>2.0</v>
      </c>
      <c r="F44" s="31">
        <v>0.0</v>
      </c>
      <c r="G44" s="31">
        <v>0.0</v>
      </c>
      <c r="H44" s="31">
        <v>0.0</v>
      </c>
      <c r="I44" s="31">
        <v>5.0</v>
      </c>
      <c r="J44" s="31">
        <v>4.0</v>
      </c>
      <c r="K44" s="31">
        <v>0.0</v>
      </c>
      <c r="L44" s="31">
        <v>0.0</v>
      </c>
      <c r="M44" s="31">
        <v>0.0</v>
      </c>
    </row>
    <row r="45" ht="13.5" customHeight="1">
      <c r="A45" s="31" t="s">
        <v>45</v>
      </c>
      <c r="B45" s="31">
        <f t="shared" si="2"/>
        <v>28</v>
      </c>
      <c r="C45" s="31">
        <f t="shared" si="3"/>
        <v>44</v>
      </c>
      <c r="D45" s="31">
        <v>11.0</v>
      </c>
      <c r="E45" s="31">
        <v>13.0</v>
      </c>
      <c r="F45" s="31">
        <v>4.0</v>
      </c>
      <c r="G45" s="31">
        <v>0.0</v>
      </c>
      <c r="H45" s="31">
        <v>0.0</v>
      </c>
      <c r="I45" s="31">
        <v>15.0</v>
      </c>
      <c r="J45" s="31">
        <v>23.0</v>
      </c>
      <c r="K45" s="31">
        <v>6.0</v>
      </c>
      <c r="L45" s="31">
        <v>0.0</v>
      </c>
      <c r="M45" s="31">
        <v>0.0</v>
      </c>
    </row>
    <row r="46" ht="13.5" customHeight="1">
      <c r="A46" s="31" t="s">
        <v>46</v>
      </c>
      <c r="B46" s="31">
        <f t="shared" si="2"/>
        <v>48</v>
      </c>
      <c r="C46" s="31">
        <f t="shared" si="3"/>
        <v>82</v>
      </c>
      <c r="D46" s="31">
        <v>30.0</v>
      </c>
      <c r="E46" s="31">
        <v>12.0</v>
      </c>
      <c r="F46" s="31">
        <v>3.0</v>
      </c>
      <c r="G46" s="31">
        <v>3.0</v>
      </c>
      <c r="H46" s="31">
        <v>0.0</v>
      </c>
      <c r="I46" s="31">
        <v>52.0</v>
      </c>
      <c r="J46" s="31">
        <v>20.0</v>
      </c>
      <c r="K46" s="31">
        <v>5.0</v>
      </c>
      <c r="L46" s="31">
        <v>5.0</v>
      </c>
      <c r="M46" s="31">
        <v>0.0</v>
      </c>
    </row>
    <row r="47" ht="13.5" customHeight="1">
      <c r="A47" s="17">
        <v>3753.0</v>
      </c>
      <c r="B47" s="18">
        <f t="shared" si="2"/>
        <v>1996</v>
      </c>
      <c r="C47" s="18">
        <f t="shared" si="3"/>
        <v>3079</v>
      </c>
      <c r="D47" s="18">
        <f t="shared" ref="D47:M47" si="4">SUM(D48:D54)</f>
        <v>1055</v>
      </c>
      <c r="E47" s="18">
        <f t="shared" si="4"/>
        <v>592</v>
      </c>
      <c r="F47" s="18">
        <f t="shared" si="4"/>
        <v>105</v>
      </c>
      <c r="G47" s="18">
        <f t="shared" si="4"/>
        <v>244</v>
      </c>
      <c r="H47" s="18">
        <f t="shared" si="4"/>
        <v>0</v>
      </c>
      <c r="I47" s="18">
        <f t="shared" si="4"/>
        <v>1632</v>
      </c>
      <c r="J47" s="18">
        <f t="shared" si="4"/>
        <v>939</v>
      </c>
      <c r="K47" s="18">
        <f t="shared" si="4"/>
        <v>159</v>
      </c>
      <c r="L47" s="18">
        <f t="shared" si="4"/>
        <v>349</v>
      </c>
      <c r="M47" s="18">
        <f t="shared" si="4"/>
        <v>0</v>
      </c>
    </row>
    <row r="48" ht="13.5" customHeight="1">
      <c r="A48" s="31" t="s">
        <v>74</v>
      </c>
      <c r="B48" s="33">
        <f t="shared" si="2"/>
        <v>29</v>
      </c>
      <c r="C48" s="33">
        <f t="shared" si="3"/>
        <v>48</v>
      </c>
      <c r="D48" s="31">
        <v>16.0</v>
      </c>
      <c r="E48" s="31">
        <v>9.0</v>
      </c>
      <c r="F48" s="31">
        <v>1.0</v>
      </c>
      <c r="G48" s="31">
        <v>3.0</v>
      </c>
      <c r="H48" s="31">
        <v>0.0</v>
      </c>
      <c r="I48" s="31">
        <v>22.0</v>
      </c>
      <c r="J48" s="31">
        <v>16.0</v>
      </c>
      <c r="K48" s="31">
        <v>3.0</v>
      </c>
      <c r="L48" s="31">
        <v>7.0</v>
      </c>
      <c r="M48" s="31">
        <v>0.0</v>
      </c>
      <c r="N48" s="15"/>
      <c r="O48" s="15"/>
      <c r="P48" s="15"/>
      <c r="Q48" s="15"/>
      <c r="R48" s="15"/>
      <c r="S48" s="15"/>
      <c r="T48" s="15"/>
    </row>
    <row r="49" ht="13.5" customHeight="1">
      <c r="A49" s="31" t="s">
        <v>47</v>
      </c>
      <c r="B49" s="33">
        <f t="shared" si="2"/>
        <v>116</v>
      </c>
      <c r="C49" s="33">
        <f t="shared" si="3"/>
        <v>185</v>
      </c>
      <c r="D49" s="31">
        <v>62.0</v>
      </c>
      <c r="E49" s="31">
        <v>31.0</v>
      </c>
      <c r="F49" s="31">
        <v>8.0</v>
      </c>
      <c r="G49" s="31">
        <v>15.0</v>
      </c>
      <c r="H49" s="31">
        <v>0.0</v>
      </c>
      <c r="I49" s="31">
        <v>97.0</v>
      </c>
      <c r="J49" s="31">
        <v>52.0</v>
      </c>
      <c r="K49" s="31">
        <v>12.0</v>
      </c>
      <c r="L49" s="31">
        <v>24.0</v>
      </c>
      <c r="M49" s="31">
        <v>0.0</v>
      </c>
    </row>
    <row r="50" ht="13.5" customHeight="1">
      <c r="A50" s="31" t="s">
        <v>49</v>
      </c>
      <c r="B50" s="33">
        <f t="shared" si="2"/>
        <v>47</v>
      </c>
      <c r="C50" s="33">
        <f t="shared" si="3"/>
        <v>66</v>
      </c>
      <c r="D50" s="31">
        <v>23.0</v>
      </c>
      <c r="E50" s="31">
        <v>18.0</v>
      </c>
      <c r="F50" s="31">
        <v>4.0</v>
      </c>
      <c r="G50" s="31">
        <v>2.0</v>
      </c>
      <c r="H50" s="31">
        <v>0.0</v>
      </c>
      <c r="I50" s="31">
        <v>33.0</v>
      </c>
      <c r="J50" s="31">
        <v>24.0</v>
      </c>
      <c r="K50" s="31">
        <v>6.0</v>
      </c>
      <c r="L50" s="31">
        <v>3.0</v>
      </c>
      <c r="M50" s="31">
        <v>0.0</v>
      </c>
    </row>
    <row r="51" ht="13.5" customHeight="1">
      <c r="A51" s="31" t="s">
        <v>50</v>
      </c>
      <c r="B51" s="33">
        <f t="shared" si="2"/>
        <v>213</v>
      </c>
      <c r="C51" s="33">
        <f t="shared" si="3"/>
        <v>337</v>
      </c>
      <c r="D51" s="31">
        <v>115.0</v>
      </c>
      <c r="E51" s="31">
        <v>51.0</v>
      </c>
      <c r="F51" s="31">
        <v>10.0</v>
      </c>
      <c r="G51" s="31">
        <v>37.0</v>
      </c>
      <c r="H51" s="31">
        <v>0.0</v>
      </c>
      <c r="I51" s="31">
        <v>180.0</v>
      </c>
      <c r="J51" s="31">
        <v>85.0</v>
      </c>
      <c r="K51" s="31">
        <v>12.0</v>
      </c>
      <c r="L51" s="31">
        <v>60.0</v>
      </c>
      <c r="M51" s="31">
        <v>0.0</v>
      </c>
    </row>
    <row r="52" ht="13.5" customHeight="1">
      <c r="A52" s="31" t="s">
        <v>51</v>
      </c>
      <c r="B52" s="33">
        <f t="shared" si="2"/>
        <v>838</v>
      </c>
      <c r="C52" s="33">
        <f t="shared" si="3"/>
        <v>1300</v>
      </c>
      <c r="D52" s="31">
        <v>456.0</v>
      </c>
      <c r="E52" s="31">
        <v>255.0</v>
      </c>
      <c r="F52" s="31">
        <v>40.0</v>
      </c>
      <c r="G52" s="31">
        <v>87.0</v>
      </c>
      <c r="H52" s="31">
        <v>0.0</v>
      </c>
      <c r="I52" s="31">
        <v>703.0</v>
      </c>
      <c r="J52" s="31">
        <v>413.0</v>
      </c>
      <c r="K52" s="31">
        <v>62.0</v>
      </c>
      <c r="L52" s="31">
        <v>122.0</v>
      </c>
      <c r="M52" s="31">
        <v>0.0</v>
      </c>
    </row>
    <row r="53" ht="13.5" customHeight="1">
      <c r="A53" s="31" t="s">
        <v>52</v>
      </c>
      <c r="B53" s="33">
        <f t="shared" si="2"/>
        <v>300</v>
      </c>
      <c r="C53" s="33">
        <f t="shared" si="3"/>
        <v>425</v>
      </c>
      <c r="D53" s="31">
        <v>137.0</v>
      </c>
      <c r="E53" s="31">
        <v>118.0</v>
      </c>
      <c r="F53" s="31">
        <v>24.0</v>
      </c>
      <c r="G53" s="31">
        <v>21.0</v>
      </c>
      <c r="H53" s="31">
        <v>0.0</v>
      </c>
      <c r="I53" s="31">
        <v>197.0</v>
      </c>
      <c r="J53" s="31">
        <v>168.0</v>
      </c>
      <c r="K53" s="31">
        <v>35.0</v>
      </c>
      <c r="L53" s="31">
        <v>25.0</v>
      </c>
      <c r="M53" s="31">
        <v>0.0</v>
      </c>
    </row>
    <row r="54" ht="13.5" customHeight="1">
      <c r="A54" s="31" t="s">
        <v>54</v>
      </c>
      <c r="B54" s="33">
        <f t="shared" si="2"/>
        <v>453</v>
      </c>
      <c r="C54" s="33">
        <f t="shared" si="3"/>
        <v>718</v>
      </c>
      <c r="D54" s="31">
        <v>246.0</v>
      </c>
      <c r="E54" s="31">
        <v>110.0</v>
      </c>
      <c r="F54" s="31">
        <v>18.0</v>
      </c>
      <c r="G54" s="31">
        <v>79.0</v>
      </c>
      <c r="H54" s="31">
        <v>0.0</v>
      </c>
      <c r="I54" s="31">
        <v>400.0</v>
      </c>
      <c r="J54" s="31">
        <v>181.0</v>
      </c>
      <c r="K54" s="31">
        <v>29.0</v>
      </c>
      <c r="L54" s="31">
        <v>108.0</v>
      </c>
      <c r="M54" s="31">
        <v>0.0</v>
      </c>
    </row>
    <row r="55" ht="13.5" customHeight="1">
      <c r="A55" s="17">
        <v>3754.0</v>
      </c>
      <c r="B55" s="18">
        <f t="shared" si="2"/>
        <v>221</v>
      </c>
      <c r="C55" s="18">
        <f t="shared" si="3"/>
        <v>406</v>
      </c>
      <c r="D55" s="18">
        <f t="shared" ref="D55:M55" si="5">SUM(D56:D59)</f>
        <v>121</v>
      </c>
      <c r="E55" s="18">
        <f t="shared" si="5"/>
        <v>43</v>
      </c>
      <c r="F55" s="18">
        <f t="shared" si="5"/>
        <v>10</v>
      </c>
      <c r="G55" s="18">
        <f t="shared" si="5"/>
        <v>47</v>
      </c>
      <c r="H55" s="18">
        <f t="shared" si="5"/>
        <v>0</v>
      </c>
      <c r="I55" s="18">
        <f t="shared" si="5"/>
        <v>226</v>
      </c>
      <c r="J55" s="18">
        <f t="shared" si="5"/>
        <v>90</v>
      </c>
      <c r="K55" s="18">
        <f t="shared" si="5"/>
        <v>18</v>
      </c>
      <c r="L55" s="18">
        <f t="shared" si="5"/>
        <v>72</v>
      </c>
      <c r="M55" s="18">
        <f t="shared" si="5"/>
        <v>0</v>
      </c>
    </row>
    <row r="56" ht="13.5" customHeight="1">
      <c r="A56" s="31" t="s">
        <v>75</v>
      </c>
      <c r="B56" s="33">
        <f t="shared" si="2"/>
        <v>26</v>
      </c>
      <c r="C56" s="33">
        <f t="shared" si="3"/>
        <v>67</v>
      </c>
      <c r="D56" s="31">
        <v>14.0</v>
      </c>
      <c r="E56" s="31">
        <v>9.0</v>
      </c>
      <c r="F56" s="31">
        <v>1.0</v>
      </c>
      <c r="G56" s="31">
        <v>2.0</v>
      </c>
      <c r="H56" s="31">
        <v>0.0</v>
      </c>
      <c r="I56" s="31">
        <v>37.0</v>
      </c>
      <c r="J56" s="31">
        <v>24.0</v>
      </c>
      <c r="K56" s="31">
        <v>2.0</v>
      </c>
      <c r="L56" s="31">
        <v>4.0</v>
      </c>
      <c r="M56" s="31">
        <v>0.0</v>
      </c>
      <c r="N56" s="15"/>
      <c r="O56" s="15"/>
      <c r="P56" s="15"/>
      <c r="Q56" s="15"/>
      <c r="R56" s="15"/>
      <c r="S56" s="15"/>
      <c r="T56" s="15"/>
    </row>
    <row r="57" ht="13.5" customHeight="1">
      <c r="A57" s="31" t="s">
        <v>55</v>
      </c>
      <c r="B57" s="33">
        <f t="shared" si="2"/>
        <v>14</v>
      </c>
      <c r="C57" s="33">
        <f t="shared" si="3"/>
        <v>20</v>
      </c>
      <c r="D57" s="31">
        <v>4.0</v>
      </c>
      <c r="E57" s="31">
        <v>3.0</v>
      </c>
      <c r="F57" s="31">
        <v>2.0</v>
      </c>
      <c r="G57" s="31">
        <v>5.0</v>
      </c>
      <c r="H57" s="31">
        <v>0.0</v>
      </c>
      <c r="I57" s="31">
        <v>5.0</v>
      </c>
      <c r="J57" s="31">
        <v>5.0</v>
      </c>
      <c r="K57" s="31">
        <v>3.0</v>
      </c>
      <c r="L57" s="31">
        <v>7.0</v>
      </c>
      <c r="M57" s="31">
        <v>0.0</v>
      </c>
    </row>
    <row r="58" ht="13.5" customHeight="1">
      <c r="A58" s="31" t="s">
        <v>57</v>
      </c>
      <c r="B58" s="33">
        <f t="shared" si="2"/>
        <v>134</v>
      </c>
      <c r="C58" s="33">
        <f t="shared" si="3"/>
        <v>235</v>
      </c>
      <c r="D58" s="31">
        <v>75.0</v>
      </c>
      <c r="E58" s="31">
        <v>20.0</v>
      </c>
      <c r="F58" s="31">
        <v>4.0</v>
      </c>
      <c r="G58" s="31">
        <v>35.0</v>
      </c>
      <c r="H58" s="31">
        <v>0.0</v>
      </c>
      <c r="I58" s="31">
        <v>134.0</v>
      </c>
      <c r="J58" s="31">
        <v>40.0</v>
      </c>
      <c r="K58" s="31">
        <v>8.0</v>
      </c>
      <c r="L58" s="31">
        <v>53.0</v>
      </c>
      <c r="M58" s="31">
        <v>0.0</v>
      </c>
    </row>
    <row r="59" ht="13.5" customHeight="1">
      <c r="A59" s="31" t="s">
        <v>58</v>
      </c>
      <c r="B59" s="33">
        <f t="shared" si="2"/>
        <v>47</v>
      </c>
      <c r="C59" s="33">
        <f t="shared" si="3"/>
        <v>84</v>
      </c>
      <c r="D59" s="31">
        <v>28.0</v>
      </c>
      <c r="E59" s="31">
        <v>11.0</v>
      </c>
      <c r="F59" s="31">
        <v>3.0</v>
      </c>
      <c r="G59" s="31">
        <v>5.0</v>
      </c>
      <c r="H59" s="31">
        <v>0.0</v>
      </c>
      <c r="I59" s="31">
        <v>50.0</v>
      </c>
      <c r="J59" s="31">
        <v>21.0</v>
      </c>
      <c r="K59" s="31">
        <v>5.0</v>
      </c>
      <c r="L59" s="31">
        <v>8.0</v>
      </c>
      <c r="M59" s="31">
        <v>0.0</v>
      </c>
    </row>
    <row r="60" ht="13.5" customHeight="1">
      <c r="A60" s="34">
        <v>3755.0</v>
      </c>
      <c r="B60" s="35">
        <f t="shared" si="2"/>
        <v>163</v>
      </c>
      <c r="C60" s="35">
        <f t="shared" si="3"/>
        <v>264</v>
      </c>
      <c r="D60" s="36">
        <f t="shared" ref="D60:M60" si="6">SUM(D61:D64)</f>
        <v>58</v>
      </c>
      <c r="E60" s="36">
        <f t="shared" si="6"/>
        <v>39</v>
      </c>
      <c r="F60" s="36">
        <f t="shared" si="6"/>
        <v>14</v>
      </c>
      <c r="G60" s="36">
        <f t="shared" si="6"/>
        <v>52</v>
      </c>
      <c r="H60" s="36">
        <f t="shared" si="6"/>
        <v>0</v>
      </c>
      <c r="I60" s="36">
        <f t="shared" si="6"/>
        <v>101</v>
      </c>
      <c r="J60" s="36">
        <f t="shared" si="6"/>
        <v>61</v>
      </c>
      <c r="K60" s="36">
        <f t="shared" si="6"/>
        <v>22</v>
      </c>
      <c r="L60" s="36">
        <f t="shared" si="6"/>
        <v>80</v>
      </c>
      <c r="M60" s="36">
        <f t="shared" si="6"/>
        <v>0</v>
      </c>
    </row>
    <row r="61" ht="13.5" customHeight="1">
      <c r="A61" s="31" t="s">
        <v>76</v>
      </c>
      <c r="B61" s="33">
        <f t="shared" si="2"/>
        <v>24</v>
      </c>
      <c r="C61" s="33">
        <f t="shared" si="3"/>
        <v>36</v>
      </c>
      <c r="D61" s="31">
        <v>8.0</v>
      </c>
      <c r="E61" s="31">
        <v>9.0</v>
      </c>
      <c r="F61" s="31">
        <v>0.0</v>
      </c>
      <c r="G61" s="31">
        <v>7.0</v>
      </c>
      <c r="H61" s="31">
        <v>0.0</v>
      </c>
      <c r="I61" s="31">
        <v>18.0</v>
      </c>
      <c r="J61" s="31">
        <v>11.0</v>
      </c>
      <c r="K61" s="31">
        <v>0.0</v>
      </c>
      <c r="L61" s="31">
        <v>7.0</v>
      </c>
      <c r="M61" s="31">
        <v>0.0</v>
      </c>
    </row>
    <row r="62" ht="13.5" customHeight="1">
      <c r="A62" s="31" t="s">
        <v>59</v>
      </c>
      <c r="B62" s="33">
        <f t="shared" si="2"/>
        <v>23</v>
      </c>
      <c r="C62" s="33">
        <f t="shared" si="3"/>
        <v>36</v>
      </c>
      <c r="D62" s="31">
        <v>10.0</v>
      </c>
      <c r="E62" s="31">
        <v>4.0</v>
      </c>
      <c r="F62" s="31">
        <v>3.0</v>
      </c>
      <c r="G62" s="31">
        <v>6.0</v>
      </c>
      <c r="H62" s="31">
        <v>0.0</v>
      </c>
      <c r="I62" s="31">
        <v>17.0</v>
      </c>
      <c r="J62" s="31">
        <v>6.0</v>
      </c>
      <c r="K62" s="31">
        <v>4.0</v>
      </c>
      <c r="L62" s="31">
        <v>9.0</v>
      </c>
      <c r="M62" s="31">
        <v>0.0</v>
      </c>
    </row>
    <row r="63" ht="13.5" customHeight="1">
      <c r="A63" s="31" t="s">
        <v>60</v>
      </c>
      <c r="B63" s="33">
        <f t="shared" si="2"/>
        <v>92</v>
      </c>
      <c r="C63" s="33">
        <f t="shared" si="3"/>
        <v>154</v>
      </c>
      <c r="D63" s="31">
        <v>33.0</v>
      </c>
      <c r="E63" s="31">
        <v>23.0</v>
      </c>
      <c r="F63" s="31">
        <v>6.0</v>
      </c>
      <c r="G63" s="31">
        <v>30.0</v>
      </c>
      <c r="H63" s="31">
        <v>0.0</v>
      </c>
      <c r="I63" s="31">
        <v>55.0</v>
      </c>
      <c r="J63" s="31">
        <v>40.0</v>
      </c>
      <c r="K63" s="31">
        <v>10.0</v>
      </c>
      <c r="L63" s="31">
        <v>49.0</v>
      </c>
      <c r="M63" s="31">
        <v>0.0</v>
      </c>
    </row>
    <row r="64" ht="13.5" customHeight="1">
      <c r="A64" s="31" t="s">
        <v>91</v>
      </c>
      <c r="B64" s="33">
        <f t="shared" si="2"/>
        <v>24</v>
      </c>
      <c r="C64" s="33">
        <f t="shared" si="3"/>
        <v>38</v>
      </c>
      <c r="D64" s="31">
        <v>7.0</v>
      </c>
      <c r="E64" s="31">
        <v>3.0</v>
      </c>
      <c r="F64" s="31">
        <v>5.0</v>
      </c>
      <c r="G64" s="31">
        <v>9.0</v>
      </c>
      <c r="H64" s="31">
        <v>0.0</v>
      </c>
      <c r="I64" s="31">
        <v>11.0</v>
      </c>
      <c r="J64" s="31">
        <v>4.0</v>
      </c>
      <c r="K64" s="31">
        <v>8.0</v>
      </c>
      <c r="L64" s="31">
        <v>15.0</v>
      </c>
      <c r="M64" s="31">
        <v>0.0</v>
      </c>
    </row>
    <row r="65" ht="13.5" customHeight="1">
      <c r="A65" s="20" t="s">
        <v>61</v>
      </c>
      <c r="B65" s="20">
        <f t="shared" ref="B65:C65" si="7">B4+B47+B55+B60</f>
        <v>6763</v>
      </c>
      <c r="C65" s="20">
        <f t="shared" si="7"/>
        <v>10706</v>
      </c>
      <c r="D65" s="20">
        <f t="shared" ref="D65:M65" si="8">D4+D47+D55</f>
        <v>3510</v>
      </c>
      <c r="E65" s="20">
        <f t="shared" si="8"/>
        <v>1906</v>
      </c>
      <c r="F65" s="20">
        <f t="shared" si="8"/>
        <v>396</v>
      </c>
      <c r="G65" s="20">
        <f t="shared" si="8"/>
        <v>768</v>
      </c>
      <c r="H65" s="20">
        <f t="shared" si="8"/>
        <v>20</v>
      </c>
      <c r="I65" s="20">
        <f t="shared" si="8"/>
        <v>5551</v>
      </c>
      <c r="J65" s="20">
        <f t="shared" si="8"/>
        <v>3110</v>
      </c>
      <c r="K65" s="20">
        <f t="shared" si="8"/>
        <v>649</v>
      </c>
      <c r="L65" s="20">
        <f t="shared" si="8"/>
        <v>1112</v>
      </c>
      <c r="M65" s="20">
        <f t="shared" si="8"/>
        <v>20</v>
      </c>
    </row>
    <row r="66" ht="13.5" customHeight="1"/>
    <row r="67" ht="13.5" customHeight="1">
      <c r="A67" s="21" t="s">
        <v>62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3"/>
    </row>
    <row r="68" ht="13.5" customHeight="1">
      <c r="A68" s="24" t="s">
        <v>63</v>
      </c>
      <c r="B68" s="25" t="s">
        <v>8</v>
      </c>
      <c r="C68" s="23"/>
      <c r="D68" s="25" t="s">
        <v>9</v>
      </c>
      <c r="E68" s="23"/>
      <c r="F68" s="25" t="s">
        <v>10</v>
      </c>
      <c r="G68" s="23"/>
      <c r="H68" s="25" t="s">
        <v>11</v>
      </c>
      <c r="I68" s="23"/>
      <c r="J68" s="25" t="s">
        <v>92</v>
      </c>
      <c r="K68" s="23"/>
      <c r="L68" s="26" t="s">
        <v>94</v>
      </c>
      <c r="M68" s="26" t="s">
        <v>95</v>
      </c>
    </row>
    <row r="69" ht="13.5" customHeight="1">
      <c r="A69" s="27"/>
      <c r="B69" s="26" t="s">
        <v>66</v>
      </c>
      <c r="C69" s="26" t="s">
        <v>7</v>
      </c>
      <c r="D69" s="26" t="s">
        <v>66</v>
      </c>
      <c r="E69" s="26" t="s">
        <v>7</v>
      </c>
      <c r="F69" s="26" t="s">
        <v>66</v>
      </c>
      <c r="G69" s="26" t="s">
        <v>7</v>
      </c>
      <c r="H69" s="26" t="s">
        <v>66</v>
      </c>
      <c r="I69" s="26" t="s">
        <v>7</v>
      </c>
      <c r="J69" s="26" t="s">
        <v>66</v>
      </c>
      <c r="K69" s="26" t="s">
        <v>7</v>
      </c>
      <c r="L69" s="26" t="s">
        <v>66</v>
      </c>
      <c r="M69" s="26" t="s">
        <v>7</v>
      </c>
    </row>
    <row r="70" ht="13.5" customHeight="1">
      <c r="A70" s="32" t="s">
        <v>77</v>
      </c>
      <c r="B70" s="32">
        <v>39.0</v>
      </c>
      <c r="C70" s="32">
        <v>79.0</v>
      </c>
      <c r="D70" s="32">
        <v>26.0</v>
      </c>
      <c r="E70" s="32">
        <v>49.0</v>
      </c>
      <c r="F70" s="32">
        <v>2.0</v>
      </c>
      <c r="G70" s="32">
        <v>5.0</v>
      </c>
      <c r="H70" s="32">
        <v>12.0</v>
      </c>
      <c r="I70" s="32">
        <v>18.0</v>
      </c>
      <c r="J70" s="32">
        <v>0.0</v>
      </c>
      <c r="K70" s="32">
        <v>0.0</v>
      </c>
      <c r="L70" s="32">
        <f t="shared" ref="L70:M70" si="9">B70+D70+F70+H70+J70</f>
        <v>79</v>
      </c>
      <c r="M70" s="32">
        <f t="shared" si="9"/>
        <v>151</v>
      </c>
    </row>
    <row r="71" ht="13.5" customHeight="1">
      <c r="A71" s="32" t="s">
        <v>84</v>
      </c>
      <c r="B71" s="32">
        <v>22.0</v>
      </c>
      <c r="C71" s="32">
        <v>22.0</v>
      </c>
      <c r="D71" s="32">
        <v>12.0</v>
      </c>
      <c r="E71" s="32">
        <v>13.0</v>
      </c>
      <c r="F71" s="32">
        <v>7.0</v>
      </c>
      <c r="G71" s="32">
        <v>7.0</v>
      </c>
      <c r="H71" s="32"/>
      <c r="I71" s="32">
        <v>0.0</v>
      </c>
      <c r="J71" s="32">
        <v>1.0</v>
      </c>
      <c r="K71" s="32">
        <v>2.0</v>
      </c>
      <c r="L71" s="32">
        <f t="shared" ref="L71:M71" si="10">B71+D71+F71+H71+J71</f>
        <v>42</v>
      </c>
      <c r="M71" s="32">
        <f t="shared" si="10"/>
        <v>44</v>
      </c>
    </row>
    <row r="72" ht="13.5" customHeight="1">
      <c r="A72" s="32" t="s">
        <v>67</v>
      </c>
      <c r="B72" s="32">
        <v>3212.0</v>
      </c>
      <c r="C72" s="32">
        <v>5398.0</v>
      </c>
      <c r="D72" s="32">
        <v>1745.0</v>
      </c>
      <c r="E72" s="32">
        <v>2998.0</v>
      </c>
      <c r="F72" s="32">
        <v>340.0</v>
      </c>
      <c r="G72" s="32">
        <v>596.0</v>
      </c>
      <c r="H72" s="32">
        <v>716.0</v>
      </c>
      <c r="I72" s="32">
        <v>1108.0</v>
      </c>
      <c r="J72" s="32">
        <v>0.0</v>
      </c>
      <c r="K72" s="32">
        <v>0.0</v>
      </c>
      <c r="L72" s="32">
        <f t="shared" ref="L72:M72" si="11">B72+D72+F72+H72+J72</f>
        <v>6013</v>
      </c>
      <c r="M72" s="32">
        <f t="shared" si="11"/>
        <v>10100</v>
      </c>
    </row>
    <row r="73" ht="13.5" customHeight="1">
      <c r="A73" s="32" t="s">
        <v>78</v>
      </c>
      <c r="B73" s="32">
        <v>17.0</v>
      </c>
      <c r="C73" s="32">
        <v>17.0</v>
      </c>
      <c r="D73" s="32">
        <v>11.0</v>
      </c>
      <c r="E73" s="32">
        <v>11.0</v>
      </c>
      <c r="F73" s="32">
        <v>9.0</v>
      </c>
      <c r="G73" s="32">
        <v>9.0</v>
      </c>
      <c r="H73" s="32">
        <v>30.0</v>
      </c>
      <c r="I73" s="32">
        <v>30.0</v>
      </c>
      <c r="J73" s="32">
        <v>9.0</v>
      </c>
      <c r="K73" s="32">
        <v>18.0</v>
      </c>
      <c r="L73" s="32">
        <f t="shared" ref="L73:M73" si="12">B73+D73+F73+H73+J73</f>
        <v>76</v>
      </c>
      <c r="M73" s="32">
        <f t="shared" si="12"/>
        <v>85</v>
      </c>
    </row>
    <row r="74" ht="13.5" customHeight="1">
      <c r="A74" s="32" t="s">
        <v>68</v>
      </c>
      <c r="B74" s="32">
        <v>121.0</v>
      </c>
      <c r="C74" s="32">
        <v>229.0</v>
      </c>
      <c r="D74" s="32">
        <v>49.0</v>
      </c>
      <c r="E74" s="32">
        <v>78.0</v>
      </c>
      <c r="F74" s="32">
        <v>5.0</v>
      </c>
      <c r="G74" s="32">
        <v>5.0</v>
      </c>
      <c r="H74" s="32">
        <v>9.0</v>
      </c>
      <c r="I74" s="32">
        <v>14.0</v>
      </c>
      <c r="J74" s="32">
        <v>0.0</v>
      </c>
      <c r="K74" s="32">
        <v>0.0</v>
      </c>
      <c r="L74" s="32">
        <f t="shared" ref="L74:M74" si="13">B74+D74+F74+H74+J74</f>
        <v>184</v>
      </c>
      <c r="M74" s="32">
        <f t="shared" si="13"/>
        <v>326</v>
      </c>
    </row>
    <row r="75" ht="13.5" customHeight="1">
      <c r="A75" s="30" t="s">
        <v>69</v>
      </c>
      <c r="B75" s="30">
        <f t="shared" ref="B75:K75" si="14">SUM(B70:B73)</f>
        <v>3290</v>
      </c>
      <c r="C75" s="30">
        <f t="shared" si="14"/>
        <v>5516</v>
      </c>
      <c r="D75" s="30">
        <f t="shared" si="14"/>
        <v>1794</v>
      </c>
      <c r="E75" s="30">
        <f t="shared" si="14"/>
        <v>3071</v>
      </c>
      <c r="F75" s="30">
        <f t="shared" si="14"/>
        <v>358</v>
      </c>
      <c r="G75" s="30">
        <f t="shared" si="14"/>
        <v>617</v>
      </c>
      <c r="H75" s="30">
        <f t="shared" si="14"/>
        <v>758</v>
      </c>
      <c r="I75" s="30">
        <f t="shared" si="14"/>
        <v>1156</v>
      </c>
      <c r="J75" s="30">
        <f t="shared" si="14"/>
        <v>10</v>
      </c>
      <c r="K75" s="30">
        <f t="shared" si="14"/>
        <v>20</v>
      </c>
      <c r="L75" s="30">
        <f t="shared" ref="L75:M75" si="15">SUM(L70:L74)</f>
        <v>6394</v>
      </c>
      <c r="M75" s="30">
        <f t="shared" si="15"/>
        <v>10706</v>
      </c>
    </row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D68:E68"/>
    <mergeCell ref="F68:G68"/>
    <mergeCell ref="H68:I68"/>
    <mergeCell ref="J68:K68"/>
    <mergeCell ref="A1:L1"/>
    <mergeCell ref="B2:C2"/>
    <mergeCell ref="D2:H2"/>
    <mergeCell ref="I2:L2"/>
    <mergeCell ref="A67:M67"/>
    <mergeCell ref="A68:A69"/>
    <mergeCell ref="B68:C68"/>
  </mergeCells>
  <printOptions/>
  <pageMargins bottom="0.984027777777778" footer="0.0" header="0.0" left="0.747916666666667" right="0.747916666666667" top="0.984027777777778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2021-02-11T16:48:26Z</dcterms:created>
  <dc:creator>CenDepAcm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