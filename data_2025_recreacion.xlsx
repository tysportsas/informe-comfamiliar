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nDepPor06\Desktop\"/>
    </mc:Choice>
  </mc:AlternateContent>
  <bookViews>
    <workbookView xWindow="0" yWindow="0" windowWidth="19200" windowHeight="8130" tabRatio="500" firstSheet="1" activeTab="10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54" i="11" l="1"/>
  <c r="J54" i="11"/>
  <c r="I54" i="11"/>
  <c r="H54" i="11"/>
  <c r="G54" i="11"/>
  <c r="F54" i="11"/>
  <c r="E54" i="11"/>
  <c r="D54" i="11"/>
  <c r="C54" i="11"/>
  <c r="B54" i="11"/>
  <c r="M53" i="11"/>
  <c r="L53" i="11"/>
  <c r="M52" i="11"/>
  <c r="L52" i="11"/>
  <c r="L54" i="11" s="1"/>
  <c r="M51" i="11"/>
  <c r="M54" i="11" s="1"/>
  <c r="L51" i="11"/>
  <c r="C45" i="11"/>
  <c r="B45" i="11"/>
  <c r="C44" i="11"/>
  <c r="B44" i="11"/>
  <c r="C43" i="11"/>
  <c r="B43" i="11"/>
  <c r="Q42" i="11"/>
  <c r="P42" i="11"/>
  <c r="C42" i="11" s="1"/>
  <c r="O42" i="11"/>
  <c r="N42" i="11"/>
  <c r="M42" i="11"/>
  <c r="L42" i="11"/>
  <c r="K42" i="11"/>
  <c r="J42" i="11"/>
  <c r="I42" i="11"/>
  <c r="H42" i="11"/>
  <c r="G42" i="11"/>
  <c r="F42" i="11"/>
  <c r="E42" i="11"/>
  <c r="D42" i="11"/>
  <c r="B42" i="11"/>
  <c r="C41" i="11"/>
  <c r="B41" i="11"/>
  <c r="C40" i="11"/>
  <c r="B40" i="11"/>
  <c r="Q39" i="11"/>
  <c r="P39" i="11"/>
  <c r="O39" i="11"/>
  <c r="N39" i="11"/>
  <c r="M39" i="11"/>
  <c r="L39" i="11"/>
  <c r="K39" i="11"/>
  <c r="C39" i="11" s="1"/>
  <c r="J39" i="11"/>
  <c r="I39" i="11"/>
  <c r="H39" i="11"/>
  <c r="B39" i="11" s="1"/>
  <c r="G39" i="11"/>
  <c r="F39" i="11"/>
  <c r="E39" i="11"/>
  <c r="D39" i="11"/>
  <c r="C38" i="11"/>
  <c r="B38" i="11"/>
  <c r="C37" i="11"/>
  <c r="B37" i="11"/>
  <c r="C36" i="11"/>
  <c r="B36" i="11"/>
  <c r="C35" i="11"/>
  <c r="C34" i="11" s="1"/>
  <c r="B35" i="11"/>
  <c r="B34" i="11" s="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Q4" i="11"/>
  <c r="Q46" i="11" s="1"/>
  <c r="P4" i="11"/>
  <c r="P46" i="11" s="1"/>
  <c r="O4" i="11"/>
  <c r="O46" i="11" s="1"/>
  <c r="N4" i="11"/>
  <c r="N46" i="11" s="1"/>
  <c r="M4" i="11"/>
  <c r="M46" i="11" s="1"/>
  <c r="L4" i="11"/>
  <c r="L46" i="11" s="1"/>
  <c r="K4" i="11"/>
  <c r="K46" i="11" s="1"/>
  <c r="J4" i="11"/>
  <c r="J46" i="11" s="1"/>
  <c r="I4" i="11"/>
  <c r="I46" i="11" s="1"/>
  <c r="H4" i="11"/>
  <c r="H46" i="11" s="1"/>
  <c r="G4" i="11"/>
  <c r="G46" i="11" s="1"/>
  <c r="F4" i="11"/>
  <c r="F46" i="11" s="1"/>
  <c r="E4" i="11"/>
  <c r="E46" i="11" s="1"/>
  <c r="D4" i="11"/>
  <c r="D46" i="11" s="1"/>
  <c r="M51" i="10"/>
  <c r="L51" i="10"/>
  <c r="K51" i="10"/>
  <c r="J51" i="10"/>
  <c r="I51" i="10"/>
  <c r="H51" i="10"/>
  <c r="G51" i="10"/>
  <c r="F51" i="10"/>
  <c r="E51" i="10"/>
  <c r="D51" i="10"/>
  <c r="C51" i="10"/>
  <c r="B51" i="10"/>
  <c r="L43" i="10"/>
  <c r="H43" i="10"/>
  <c r="C42" i="10"/>
  <c r="B42" i="10"/>
  <c r="C41" i="10"/>
  <c r="B41" i="10"/>
  <c r="C40" i="10"/>
  <c r="B40" i="10"/>
  <c r="Q39" i="10"/>
  <c r="P39" i="10"/>
  <c r="C39" i="10" s="1"/>
  <c r="O39" i="10"/>
  <c r="N39" i="10"/>
  <c r="M39" i="10"/>
  <c r="L39" i="10"/>
  <c r="K39" i="10"/>
  <c r="J39" i="10"/>
  <c r="I39" i="10"/>
  <c r="H39" i="10"/>
  <c r="G39" i="10"/>
  <c r="F39" i="10"/>
  <c r="E39" i="10"/>
  <c r="D39" i="10"/>
  <c r="B39" i="10"/>
  <c r="C38" i="10"/>
  <c r="B38" i="10"/>
  <c r="C37" i="10"/>
  <c r="B37" i="10"/>
  <c r="Q36" i="10"/>
  <c r="P36" i="10"/>
  <c r="O36" i="10"/>
  <c r="O43" i="10" s="1"/>
  <c r="N36" i="10"/>
  <c r="N43" i="10" s="1"/>
  <c r="M36" i="10"/>
  <c r="M43" i="10" s="1"/>
  <c r="L36" i="10"/>
  <c r="K36" i="10"/>
  <c r="K43" i="10" s="1"/>
  <c r="J36" i="10"/>
  <c r="J43" i="10" s="1"/>
  <c r="I36" i="10"/>
  <c r="I43" i="10" s="1"/>
  <c r="H36" i="10"/>
  <c r="B36" i="10" s="1"/>
  <c r="G36" i="10"/>
  <c r="F36" i="10"/>
  <c r="E36" i="10"/>
  <c r="D36" i="10"/>
  <c r="C35" i="10"/>
  <c r="B35" i="10"/>
  <c r="C34" i="10"/>
  <c r="B34" i="10"/>
  <c r="C33" i="10"/>
  <c r="B33" i="10"/>
  <c r="C32" i="10"/>
  <c r="C31" i="10" s="1"/>
  <c r="B32" i="10"/>
  <c r="B31" i="10" s="1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Q4" i="10"/>
  <c r="Q43" i="10" s="1"/>
  <c r="P4" i="10"/>
  <c r="C4" i="10" s="1"/>
  <c r="O4" i="10"/>
  <c r="N4" i="10"/>
  <c r="M4" i="10"/>
  <c r="L4" i="10"/>
  <c r="K4" i="10"/>
  <c r="J4" i="10"/>
  <c r="I4" i="10"/>
  <c r="H4" i="10"/>
  <c r="G4" i="10"/>
  <c r="G43" i="10" s="1"/>
  <c r="F4" i="10"/>
  <c r="F43" i="10" s="1"/>
  <c r="E4" i="10"/>
  <c r="E43" i="10" s="1"/>
  <c r="D4" i="10"/>
  <c r="D43" i="10" s="1"/>
  <c r="B4" i="10"/>
  <c r="B43" i="10" s="1"/>
  <c r="M46" i="9"/>
  <c r="L46" i="9"/>
  <c r="K46" i="9"/>
  <c r="J46" i="9"/>
  <c r="I46" i="9"/>
  <c r="H46" i="9"/>
  <c r="G46" i="9"/>
  <c r="F46" i="9"/>
  <c r="E46" i="9"/>
  <c r="D46" i="9"/>
  <c r="C46" i="9"/>
  <c r="B46" i="9"/>
  <c r="C38" i="9"/>
  <c r="B38" i="9"/>
  <c r="C37" i="9"/>
  <c r="B37" i="9"/>
  <c r="Q36" i="9"/>
  <c r="P36" i="9"/>
  <c r="O36" i="9"/>
  <c r="N36" i="9"/>
  <c r="M36" i="9"/>
  <c r="L36" i="9"/>
  <c r="K36" i="9"/>
  <c r="C36" i="9" s="1"/>
  <c r="J36" i="9"/>
  <c r="I36" i="9"/>
  <c r="H36" i="9"/>
  <c r="B36" i="9" s="1"/>
  <c r="G36" i="9"/>
  <c r="F36" i="9"/>
  <c r="E36" i="9"/>
  <c r="D36" i="9"/>
  <c r="C35" i="9"/>
  <c r="B35" i="9"/>
  <c r="C34" i="9"/>
  <c r="B34" i="9"/>
  <c r="Q33" i="9"/>
  <c r="P33" i="9"/>
  <c r="O33" i="9"/>
  <c r="N33" i="9"/>
  <c r="C33" i="9" s="1"/>
  <c r="M33" i="9"/>
  <c r="L33" i="9"/>
  <c r="K33" i="9"/>
  <c r="J33" i="9"/>
  <c r="I33" i="9"/>
  <c r="H33" i="9"/>
  <c r="G33" i="9"/>
  <c r="F33" i="9"/>
  <c r="E33" i="9"/>
  <c r="D33" i="9"/>
  <c r="B33" i="9"/>
  <c r="C32" i="9"/>
  <c r="B32" i="9"/>
  <c r="B29" i="9" s="1"/>
  <c r="C31" i="9"/>
  <c r="B31" i="9"/>
  <c r="C30" i="9"/>
  <c r="C29" i="9" s="1"/>
  <c r="B30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Q4" i="9"/>
  <c r="Q39" i="9" s="1"/>
  <c r="P4" i="9"/>
  <c r="C4" i="9" s="1"/>
  <c r="O4" i="9"/>
  <c r="O39" i="9" s="1"/>
  <c r="N4" i="9"/>
  <c r="N39" i="9" s="1"/>
  <c r="M4" i="9"/>
  <c r="M39" i="9" s="1"/>
  <c r="L4" i="9"/>
  <c r="L39" i="9" s="1"/>
  <c r="K4" i="9"/>
  <c r="K39" i="9" s="1"/>
  <c r="J4" i="9"/>
  <c r="J39" i="9" s="1"/>
  <c r="I4" i="9"/>
  <c r="I39" i="9" s="1"/>
  <c r="H4" i="9"/>
  <c r="H39" i="9" s="1"/>
  <c r="G4" i="9"/>
  <c r="G39" i="9" s="1"/>
  <c r="F4" i="9"/>
  <c r="F39" i="9" s="1"/>
  <c r="E4" i="9"/>
  <c r="E39" i="9" s="1"/>
  <c r="D4" i="9"/>
  <c r="D39" i="9" s="1"/>
  <c r="B4" i="9"/>
  <c r="M46" i="8"/>
  <c r="L46" i="8"/>
  <c r="K46" i="8"/>
  <c r="J46" i="8"/>
  <c r="I46" i="8"/>
  <c r="H46" i="8"/>
  <c r="G46" i="8"/>
  <c r="F46" i="8"/>
  <c r="E46" i="8"/>
  <c r="D46" i="8"/>
  <c r="C46" i="8"/>
  <c r="B46" i="8"/>
  <c r="C38" i="8"/>
  <c r="B38" i="8"/>
  <c r="C37" i="8"/>
  <c r="B37" i="8"/>
  <c r="Q36" i="8"/>
  <c r="P36" i="8"/>
  <c r="O36" i="8"/>
  <c r="N36" i="8"/>
  <c r="M36" i="8"/>
  <c r="L36" i="8"/>
  <c r="K36" i="8"/>
  <c r="C36" i="8" s="1"/>
  <c r="J36" i="8"/>
  <c r="I36" i="8"/>
  <c r="H36" i="8"/>
  <c r="B36" i="8" s="1"/>
  <c r="G36" i="8"/>
  <c r="F36" i="8"/>
  <c r="E36" i="8"/>
  <c r="D36" i="8"/>
  <c r="C35" i="8"/>
  <c r="B35" i="8"/>
  <c r="C34" i="8"/>
  <c r="B34" i="8"/>
  <c r="Q33" i="8"/>
  <c r="P33" i="8"/>
  <c r="O33" i="8"/>
  <c r="N33" i="8"/>
  <c r="C33" i="8" s="1"/>
  <c r="M33" i="8"/>
  <c r="L33" i="8"/>
  <c r="K33" i="8"/>
  <c r="J33" i="8"/>
  <c r="I33" i="8"/>
  <c r="H33" i="8"/>
  <c r="G33" i="8"/>
  <c r="F33" i="8"/>
  <c r="E33" i="8"/>
  <c r="D33" i="8"/>
  <c r="B33" i="8"/>
  <c r="C32" i="8"/>
  <c r="B32" i="8"/>
  <c r="B29" i="8" s="1"/>
  <c r="C31" i="8"/>
  <c r="B31" i="8"/>
  <c r="C30" i="8"/>
  <c r="C29" i="8" s="1"/>
  <c r="B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Q4" i="8"/>
  <c r="Q39" i="8" s="1"/>
  <c r="P4" i="8"/>
  <c r="P39" i="8" s="1"/>
  <c r="O4" i="8"/>
  <c r="O39" i="8" s="1"/>
  <c r="N4" i="8"/>
  <c r="N39" i="8" s="1"/>
  <c r="M4" i="8"/>
  <c r="M39" i="8" s="1"/>
  <c r="L4" i="8"/>
  <c r="L39" i="8" s="1"/>
  <c r="K4" i="8"/>
  <c r="K39" i="8" s="1"/>
  <c r="J4" i="8"/>
  <c r="J39" i="8" s="1"/>
  <c r="I4" i="8"/>
  <c r="I39" i="8" s="1"/>
  <c r="H4" i="8"/>
  <c r="H39" i="8" s="1"/>
  <c r="G4" i="8"/>
  <c r="G39" i="8" s="1"/>
  <c r="F4" i="8"/>
  <c r="F39" i="8" s="1"/>
  <c r="E4" i="8"/>
  <c r="E39" i="8" s="1"/>
  <c r="D4" i="8"/>
  <c r="D39" i="8" s="1"/>
  <c r="B4" i="8"/>
  <c r="K51" i="7"/>
  <c r="J51" i="7"/>
  <c r="I51" i="7"/>
  <c r="H51" i="7"/>
  <c r="G51" i="7"/>
  <c r="F51" i="7"/>
  <c r="E51" i="7"/>
  <c r="D51" i="7"/>
  <c r="C51" i="7"/>
  <c r="B51" i="7"/>
  <c r="M50" i="7"/>
  <c r="L50" i="7"/>
  <c r="M49" i="7"/>
  <c r="L49" i="7"/>
  <c r="L51" i="7" s="1"/>
  <c r="M48" i="7"/>
  <c r="M51" i="7" s="1"/>
  <c r="L48" i="7"/>
  <c r="C42" i="7"/>
  <c r="B42" i="7"/>
  <c r="C41" i="7"/>
  <c r="B41" i="7"/>
  <c r="C40" i="7"/>
  <c r="B40" i="7"/>
  <c r="O39" i="7"/>
  <c r="N39" i="7"/>
  <c r="M39" i="7"/>
  <c r="L39" i="7"/>
  <c r="C39" i="7" s="1"/>
  <c r="K39" i="7"/>
  <c r="J39" i="7"/>
  <c r="I39" i="7"/>
  <c r="H39" i="7"/>
  <c r="G39" i="7"/>
  <c r="F39" i="7"/>
  <c r="E39" i="7"/>
  <c r="D39" i="7"/>
  <c r="B39" i="7"/>
  <c r="C38" i="7"/>
  <c r="B38" i="7"/>
  <c r="C37" i="7"/>
  <c r="B37" i="7"/>
  <c r="C36" i="7"/>
  <c r="B36" i="7"/>
  <c r="O35" i="7"/>
  <c r="N35" i="7"/>
  <c r="M35" i="7"/>
  <c r="L35" i="7"/>
  <c r="K35" i="7"/>
  <c r="J35" i="7"/>
  <c r="C35" i="7" s="1"/>
  <c r="I35" i="7"/>
  <c r="H35" i="7"/>
  <c r="G35" i="7"/>
  <c r="F35" i="7"/>
  <c r="E35" i="7"/>
  <c r="D35" i="7"/>
  <c r="B35" i="7" s="1"/>
  <c r="C34" i="7"/>
  <c r="B34" i="7"/>
  <c r="C33" i="7"/>
  <c r="B33" i="7"/>
  <c r="C32" i="7"/>
  <c r="B32" i="7"/>
  <c r="C31" i="7"/>
  <c r="B31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O4" i="7"/>
  <c r="O43" i="7" s="1"/>
  <c r="N4" i="7"/>
  <c r="N43" i="7" s="1"/>
  <c r="M4" i="7"/>
  <c r="M43" i="7" s="1"/>
  <c r="L4" i="7"/>
  <c r="L43" i="7" s="1"/>
  <c r="K4" i="7"/>
  <c r="K43" i="7" s="1"/>
  <c r="J4" i="7"/>
  <c r="C4" i="7" s="1"/>
  <c r="C43" i="7" s="1"/>
  <c r="I4" i="7"/>
  <c r="I43" i="7" s="1"/>
  <c r="H4" i="7"/>
  <c r="H43" i="7" s="1"/>
  <c r="G4" i="7"/>
  <c r="G43" i="7" s="1"/>
  <c r="F4" i="7"/>
  <c r="F43" i="7" s="1"/>
  <c r="E4" i="7"/>
  <c r="E43" i="7" s="1"/>
  <c r="D4" i="7"/>
  <c r="D43" i="7" s="1"/>
  <c r="K49" i="6"/>
  <c r="J49" i="6"/>
  <c r="I49" i="6"/>
  <c r="H49" i="6"/>
  <c r="G49" i="6"/>
  <c r="F49" i="6"/>
  <c r="E49" i="6"/>
  <c r="D49" i="6"/>
  <c r="C49" i="6"/>
  <c r="B49" i="6"/>
  <c r="M48" i="6"/>
  <c r="L48" i="6"/>
  <c r="M47" i="6"/>
  <c r="L47" i="6"/>
  <c r="M46" i="6"/>
  <c r="M49" i="6" s="1"/>
  <c r="L46" i="6"/>
  <c r="L49" i="6" s="1"/>
  <c r="C40" i="6"/>
  <c r="B40" i="6"/>
  <c r="C39" i="6"/>
  <c r="B39" i="6"/>
  <c r="C38" i="6"/>
  <c r="B38" i="6"/>
  <c r="M37" i="6"/>
  <c r="L37" i="6"/>
  <c r="C37" i="6" s="1"/>
  <c r="K37" i="6"/>
  <c r="J37" i="6"/>
  <c r="I37" i="6"/>
  <c r="H37" i="6"/>
  <c r="G37" i="6"/>
  <c r="F37" i="6"/>
  <c r="E37" i="6"/>
  <c r="D37" i="6"/>
  <c r="B37" i="6"/>
  <c r="C36" i="6"/>
  <c r="B36" i="6"/>
  <c r="C35" i="6"/>
  <c r="B35" i="6"/>
  <c r="C34" i="6"/>
  <c r="B34" i="6"/>
  <c r="M33" i="6"/>
  <c r="L33" i="6"/>
  <c r="K33" i="6"/>
  <c r="J33" i="6"/>
  <c r="I33" i="6"/>
  <c r="H33" i="6"/>
  <c r="G33" i="6"/>
  <c r="F33" i="6"/>
  <c r="E33" i="6"/>
  <c r="D33" i="6"/>
  <c r="C33" i="6"/>
  <c r="B33" i="6"/>
  <c r="C32" i="6"/>
  <c r="B32" i="6"/>
  <c r="C31" i="6"/>
  <c r="B31" i="6"/>
  <c r="C30" i="6"/>
  <c r="B30" i="6"/>
  <c r="C29" i="6"/>
  <c r="C28" i="6" s="1"/>
  <c r="B29" i="6"/>
  <c r="B28" i="6" s="1"/>
  <c r="M28" i="6"/>
  <c r="L28" i="6"/>
  <c r="K28" i="6"/>
  <c r="J28" i="6"/>
  <c r="I28" i="6"/>
  <c r="I41" i="6" s="1"/>
  <c r="H28" i="6"/>
  <c r="H41" i="6" s="1"/>
  <c r="G28" i="6"/>
  <c r="F28" i="6"/>
  <c r="F41" i="6" s="1"/>
  <c r="E28" i="6"/>
  <c r="E41" i="6" s="1"/>
  <c r="D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M4" i="6"/>
  <c r="M41" i="6" s="1"/>
  <c r="L4" i="6"/>
  <c r="L41" i="6" s="1"/>
  <c r="K4" i="6"/>
  <c r="K41" i="6" s="1"/>
  <c r="J4" i="6"/>
  <c r="C4" i="6" s="1"/>
  <c r="C41" i="6" s="1"/>
  <c r="I4" i="6"/>
  <c r="H4" i="6"/>
  <c r="G4" i="6"/>
  <c r="G41" i="6" s="1"/>
  <c r="F4" i="6"/>
  <c r="E4" i="6"/>
  <c r="D4" i="6"/>
  <c r="D41" i="6" s="1"/>
  <c r="B4" i="6"/>
  <c r="M46" i="5"/>
  <c r="K46" i="5"/>
  <c r="J46" i="5"/>
  <c r="I46" i="5"/>
  <c r="H46" i="5"/>
  <c r="G46" i="5"/>
  <c r="F46" i="5"/>
  <c r="E46" i="5"/>
  <c r="D46" i="5"/>
  <c r="C46" i="5"/>
  <c r="B46" i="5"/>
  <c r="M45" i="5"/>
  <c r="L45" i="5"/>
  <c r="M44" i="5"/>
  <c r="L44" i="5"/>
  <c r="L46" i="5" s="1"/>
  <c r="K39" i="5"/>
  <c r="J39" i="5"/>
  <c r="C38" i="5"/>
  <c r="B38" i="5"/>
  <c r="C37" i="5"/>
  <c r="B37" i="5"/>
  <c r="M36" i="5"/>
  <c r="M39" i="5" s="1"/>
  <c r="L36" i="5"/>
  <c r="L39" i="5" s="1"/>
  <c r="K36" i="5"/>
  <c r="J36" i="5"/>
  <c r="I36" i="5"/>
  <c r="H36" i="5"/>
  <c r="G36" i="5"/>
  <c r="F36" i="5"/>
  <c r="E36" i="5"/>
  <c r="D36" i="5"/>
  <c r="B36" i="5"/>
  <c r="C35" i="5"/>
  <c r="B35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B33" i="5"/>
  <c r="C32" i="5"/>
  <c r="B32" i="5"/>
  <c r="B29" i="5" s="1"/>
  <c r="C31" i="5"/>
  <c r="B31" i="5"/>
  <c r="C30" i="5"/>
  <c r="C29" i="5" s="1"/>
  <c r="B30" i="5"/>
  <c r="M29" i="5"/>
  <c r="L29" i="5"/>
  <c r="K29" i="5"/>
  <c r="J29" i="5"/>
  <c r="I29" i="5"/>
  <c r="H29" i="5"/>
  <c r="G29" i="5"/>
  <c r="G39" i="5" s="1"/>
  <c r="F29" i="5"/>
  <c r="E29" i="5"/>
  <c r="D29" i="5"/>
  <c r="D39" i="5" s="1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M4" i="5"/>
  <c r="L4" i="5"/>
  <c r="K4" i="5"/>
  <c r="J4" i="5"/>
  <c r="I4" i="5"/>
  <c r="I39" i="5" s="1"/>
  <c r="H4" i="5"/>
  <c r="H39" i="5" s="1"/>
  <c r="G4" i="5"/>
  <c r="F4" i="5"/>
  <c r="F39" i="5" s="1"/>
  <c r="E4" i="5"/>
  <c r="E39" i="5" s="1"/>
  <c r="D4" i="5"/>
  <c r="M38" i="4"/>
  <c r="L38" i="4"/>
  <c r="K38" i="4"/>
  <c r="J38" i="4"/>
  <c r="I38" i="4"/>
  <c r="H38" i="4"/>
  <c r="G38" i="4"/>
  <c r="F38" i="4"/>
  <c r="E38" i="4"/>
  <c r="D38" i="4"/>
  <c r="C38" i="4"/>
  <c r="B38" i="4"/>
  <c r="M37" i="4"/>
  <c r="L37" i="4"/>
  <c r="G32" i="4"/>
  <c r="F32" i="4"/>
  <c r="C31" i="4"/>
  <c r="B31" i="4"/>
  <c r="C30" i="4"/>
  <c r="B30" i="4"/>
  <c r="M29" i="4"/>
  <c r="L29" i="4"/>
  <c r="K29" i="4"/>
  <c r="J29" i="4"/>
  <c r="I29" i="4"/>
  <c r="I32" i="4" s="1"/>
  <c r="H29" i="4"/>
  <c r="H32" i="4" s="1"/>
  <c r="G29" i="4"/>
  <c r="F29" i="4"/>
  <c r="E29" i="4"/>
  <c r="D29" i="4"/>
  <c r="C28" i="4"/>
  <c r="B28" i="4"/>
  <c r="C27" i="4"/>
  <c r="B27" i="4"/>
  <c r="M26" i="4"/>
  <c r="M32" i="4" s="1"/>
  <c r="L26" i="4"/>
  <c r="L32" i="4" s="1"/>
  <c r="K26" i="4"/>
  <c r="K32" i="4" s="1"/>
  <c r="J26" i="4"/>
  <c r="C26" i="4" s="1"/>
  <c r="I26" i="4"/>
  <c r="H26" i="4"/>
  <c r="G26" i="4"/>
  <c r="F26" i="4"/>
  <c r="E26" i="4"/>
  <c r="D26" i="4"/>
  <c r="B26" i="4"/>
  <c r="C25" i="4"/>
  <c r="B25" i="4"/>
  <c r="C24" i="4"/>
  <c r="B24" i="4"/>
  <c r="C23" i="4"/>
  <c r="C22" i="4" s="1"/>
  <c r="B23" i="4"/>
  <c r="B22" i="4" s="1"/>
  <c r="M22" i="4"/>
  <c r="L22" i="4"/>
  <c r="K22" i="4"/>
  <c r="J22" i="4"/>
  <c r="I22" i="4"/>
  <c r="H22" i="4"/>
  <c r="G22" i="4"/>
  <c r="F22" i="4"/>
  <c r="E22" i="4"/>
  <c r="D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M4" i="4"/>
  <c r="L4" i="4"/>
  <c r="K4" i="4"/>
  <c r="J4" i="4"/>
  <c r="I4" i="4"/>
  <c r="C4" i="4" s="1"/>
  <c r="H4" i="4"/>
  <c r="G4" i="4"/>
  <c r="F4" i="4"/>
  <c r="E4" i="4"/>
  <c r="E32" i="4" s="1"/>
  <c r="D4" i="4"/>
  <c r="D32" i="4" s="1"/>
  <c r="M41" i="3"/>
  <c r="L41" i="3"/>
  <c r="K41" i="3"/>
  <c r="J41" i="3"/>
  <c r="I41" i="3"/>
  <c r="H41" i="3"/>
  <c r="G41" i="3"/>
  <c r="F41" i="3"/>
  <c r="E41" i="3"/>
  <c r="D41" i="3"/>
  <c r="C41" i="3"/>
  <c r="B41" i="3"/>
  <c r="O40" i="3"/>
  <c r="O41" i="3" s="1"/>
  <c r="N40" i="3"/>
  <c r="N41" i="3" s="1"/>
  <c r="E35" i="3"/>
  <c r="D35" i="3"/>
  <c r="C34" i="3"/>
  <c r="B34" i="3"/>
  <c r="C33" i="3"/>
  <c r="B33" i="3"/>
  <c r="M32" i="3"/>
  <c r="L32" i="3"/>
  <c r="K32" i="3"/>
  <c r="J32" i="3"/>
  <c r="I32" i="3"/>
  <c r="C32" i="3" s="1"/>
  <c r="H32" i="3"/>
  <c r="G32" i="3"/>
  <c r="G35" i="3" s="1"/>
  <c r="F32" i="3"/>
  <c r="F35" i="3" s="1"/>
  <c r="E32" i="3"/>
  <c r="D32" i="3"/>
  <c r="B32" i="3" s="1"/>
  <c r="C31" i="3"/>
  <c r="B31" i="3"/>
  <c r="C30" i="3"/>
  <c r="B30" i="3"/>
  <c r="M29" i="3"/>
  <c r="L29" i="3"/>
  <c r="K29" i="3"/>
  <c r="J29" i="3"/>
  <c r="I29" i="3"/>
  <c r="C29" i="3" s="1"/>
  <c r="H29" i="3"/>
  <c r="B29" i="3" s="1"/>
  <c r="G29" i="3"/>
  <c r="F29" i="3"/>
  <c r="E29" i="3"/>
  <c r="D29" i="3"/>
  <c r="C28" i="3"/>
  <c r="B28" i="3"/>
  <c r="C27" i="3"/>
  <c r="B27" i="3"/>
  <c r="C26" i="3"/>
  <c r="C25" i="3" s="1"/>
  <c r="B26" i="3"/>
  <c r="B25" i="3" s="1"/>
  <c r="M25" i="3"/>
  <c r="L25" i="3"/>
  <c r="K25" i="3"/>
  <c r="J25" i="3"/>
  <c r="I25" i="3"/>
  <c r="H25" i="3"/>
  <c r="G25" i="3"/>
  <c r="F25" i="3"/>
  <c r="E25" i="3"/>
  <c r="D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M4" i="3"/>
  <c r="M35" i="3" s="1"/>
  <c r="L4" i="3"/>
  <c r="L35" i="3" s="1"/>
  <c r="K4" i="3"/>
  <c r="K35" i="3" s="1"/>
  <c r="J4" i="3"/>
  <c r="J35" i="3" s="1"/>
  <c r="I4" i="3"/>
  <c r="I35" i="3" s="1"/>
  <c r="H4" i="3"/>
  <c r="B4" i="3" s="1"/>
  <c r="G4" i="3"/>
  <c r="F4" i="3"/>
  <c r="E4" i="3"/>
  <c r="D4" i="3"/>
  <c r="M45" i="2"/>
  <c r="L45" i="2"/>
  <c r="K45" i="2"/>
  <c r="J45" i="2"/>
  <c r="I45" i="2"/>
  <c r="H45" i="2"/>
  <c r="G45" i="2"/>
  <c r="F45" i="2"/>
  <c r="E45" i="2"/>
  <c r="D45" i="2"/>
  <c r="C45" i="2"/>
  <c r="B45" i="2"/>
  <c r="O44" i="2"/>
  <c r="N44" i="2"/>
  <c r="O43" i="2"/>
  <c r="O45" i="2" s="1"/>
  <c r="N43" i="2"/>
  <c r="N45" i="2" s="1"/>
  <c r="K38" i="2"/>
  <c r="J38" i="2"/>
  <c r="C37" i="2"/>
  <c r="B37" i="2"/>
  <c r="C36" i="2"/>
  <c r="B36" i="2"/>
  <c r="M35" i="2"/>
  <c r="M38" i="2" s="1"/>
  <c r="L35" i="2"/>
  <c r="C35" i="2" s="1"/>
  <c r="K35" i="2"/>
  <c r="J35" i="2"/>
  <c r="I35" i="2"/>
  <c r="H35" i="2"/>
  <c r="G35" i="2"/>
  <c r="F35" i="2"/>
  <c r="E35" i="2"/>
  <c r="D35" i="2"/>
  <c r="B35" i="2"/>
  <c r="C34" i="2"/>
  <c r="B34" i="2"/>
  <c r="C33" i="2"/>
  <c r="B33" i="2"/>
  <c r="C32" i="2"/>
  <c r="B32" i="2"/>
  <c r="M31" i="2"/>
  <c r="L31" i="2"/>
  <c r="K31" i="2"/>
  <c r="J31" i="2"/>
  <c r="I31" i="2"/>
  <c r="H31" i="2"/>
  <c r="G31" i="2"/>
  <c r="F31" i="2"/>
  <c r="E31" i="2"/>
  <c r="D31" i="2"/>
  <c r="D38" i="2" s="1"/>
  <c r="C31" i="2"/>
  <c r="B31" i="2"/>
  <c r="C30" i="2"/>
  <c r="B30" i="2"/>
  <c r="C29" i="2"/>
  <c r="B29" i="2"/>
  <c r="C28" i="2"/>
  <c r="B28" i="2"/>
  <c r="B27" i="2" s="1"/>
  <c r="M27" i="2"/>
  <c r="L27" i="2"/>
  <c r="K27" i="2"/>
  <c r="J27" i="2"/>
  <c r="I27" i="2"/>
  <c r="H27" i="2"/>
  <c r="G27" i="2"/>
  <c r="F27" i="2"/>
  <c r="E27" i="2"/>
  <c r="D27" i="2"/>
  <c r="C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M4" i="2"/>
  <c r="L4" i="2"/>
  <c r="K4" i="2"/>
  <c r="J4" i="2"/>
  <c r="I4" i="2"/>
  <c r="I38" i="2" s="1"/>
  <c r="H4" i="2"/>
  <c r="H38" i="2" s="1"/>
  <c r="G4" i="2"/>
  <c r="G38" i="2" s="1"/>
  <c r="F4" i="2"/>
  <c r="F38" i="2" s="1"/>
  <c r="E4" i="2"/>
  <c r="E38" i="2" s="1"/>
  <c r="D4" i="2"/>
  <c r="B4" i="2" s="1"/>
  <c r="K42" i="1"/>
  <c r="J42" i="1"/>
  <c r="I42" i="1"/>
  <c r="H42" i="1"/>
  <c r="G42" i="1"/>
  <c r="F42" i="1"/>
  <c r="E42" i="1"/>
  <c r="D42" i="1"/>
  <c r="C42" i="1"/>
  <c r="B42" i="1"/>
  <c r="M41" i="1"/>
  <c r="L41" i="1"/>
  <c r="M40" i="1"/>
  <c r="M42" i="1" s="1"/>
  <c r="L40" i="1"/>
  <c r="L42" i="1" s="1"/>
  <c r="G35" i="1"/>
  <c r="F35" i="1"/>
  <c r="C34" i="1"/>
  <c r="B34" i="1"/>
  <c r="C33" i="1"/>
  <c r="B33" i="1"/>
  <c r="M32" i="1"/>
  <c r="L32" i="1"/>
  <c r="K32" i="1"/>
  <c r="J32" i="1"/>
  <c r="I32" i="1"/>
  <c r="I35" i="1" s="1"/>
  <c r="H32" i="1"/>
  <c r="B32" i="1" s="1"/>
  <c r="G32" i="1"/>
  <c r="F32" i="1"/>
  <c r="E32" i="1"/>
  <c r="D32" i="1"/>
  <c r="C31" i="1"/>
  <c r="B31" i="1"/>
  <c r="C30" i="1"/>
  <c r="B30" i="1"/>
  <c r="M29" i="1"/>
  <c r="L29" i="1"/>
  <c r="K29" i="1"/>
  <c r="J29" i="1"/>
  <c r="C29" i="1" s="1"/>
  <c r="I29" i="1"/>
  <c r="H29" i="1"/>
  <c r="G29" i="1"/>
  <c r="F29" i="1"/>
  <c r="E29" i="1"/>
  <c r="D29" i="1"/>
  <c r="B29" i="1"/>
  <c r="C28" i="1"/>
  <c r="B28" i="1"/>
  <c r="C27" i="1"/>
  <c r="B27" i="1"/>
  <c r="C26" i="1"/>
  <c r="C25" i="1" s="1"/>
  <c r="B26" i="1"/>
  <c r="B25" i="1" s="1"/>
  <c r="M25" i="1"/>
  <c r="L25" i="1"/>
  <c r="K25" i="1"/>
  <c r="J25" i="1"/>
  <c r="I25" i="1"/>
  <c r="H25" i="1"/>
  <c r="G25" i="1"/>
  <c r="F25" i="1"/>
  <c r="E25" i="1"/>
  <c r="D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M4" i="1"/>
  <c r="M35" i="1" s="1"/>
  <c r="L4" i="1"/>
  <c r="L35" i="1" s="1"/>
  <c r="K4" i="1"/>
  <c r="K35" i="1" s="1"/>
  <c r="J4" i="1"/>
  <c r="C4" i="1" s="1"/>
  <c r="I4" i="1"/>
  <c r="H4" i="1"/>
  <c r="G4" i="1"/>
  <c r="F4" i="1"/>
  <c r="E4" i="1"/>
  <c r="E35" i="1" s="1"/>
  <c r="D4" i="1"/>
  <c r="D35" i="1" s="1"/>
  <c r="B4" i="1"/>
  <c r="C39" i="9" l="1"/>
  <c r="B35" i="1"/>
  <c r="B38" i="2"/>
  <c r="B35" i="3"/>
  <c r="B39" i="9"/>
  <c r="B39" i="8"/>
  <c r="B41" i="6"/>
  <c r="C4" i="8"/>
  <c r="C39" i="8" s="1"/>
  <c r="J41" i="6"/>
  <c r="J35" i="1"/>
  <c r="H35" i="3"/>
  <c r="J32" i="4"/>
  <c r="B29" i="4"/>
  <c r="P43" i="10"/>
  <c r="B4" i="11"/>
  <c r="B46" i="11" s="1"/>
  <c r="C32" i="1"/>
  <c r="C35" i="1" s="1"/>
  <c r="C4" i="3"/>
  <c r="C35" i="3" s="1"/>
  <c r="C29" i="4"/>
  <c r="C32" i="4" s="1"/>
  <c r="C4" i="5"/>
  <c r="C36" i="10"/>
  <c r="C43" i="10" s="1"/>
  <c r="C4" i="11"/>
  <c r="C46" i="11" s="1"/>
  <c r="P39" i="9"/>
  <c r="H35" i="1"/>
  <c r="L38" i="2"/>
  <c r="C36" i="5"/>
  <c r="B4" i="7"/>
  <c r="B43" i="7" s="1"/>
  <c r="J43" i="7"/>
  <c r="C4" i="2"/>
  <c r="C38" i="2" s="1"/>
  <c r="B4" i="5"/>
  <c r="B39" i="5" s="1"/>
  <c r="B4" i="4"/>
  <c r="B32" i="4" s="1"/>
  <c r="C39" i="5" l="1"/>
</calcChain>
</file>

<file path=xl/sharedStrings.xml><?xml version="1.0" encoding="utf-8"?>
<sst xmlns="http://schemas.openxmlformats.org/spreadsheetml/2006/main" count="797" uniqueCount="97">
  <si>
    <t>NÚMERO DE SERVICIOS FACTURADOS</t>
  </si>
  <si>
    <t>ACTIVIDAD</t>
  </si>
  <si>
    <t>ENERO 2025 USUARIOS</t>
  </si>
  <si>
    <t>ENERO 2025 USOS</t>
  </si>
  <si>
    <t>CATEGORIAS USUARIOS</t>
  </si>
  <si>
    <t>CATEGORIAS USOS</t>
  </si>
  <si>
    <t>A</t>
  </si>
  <si>
    <t>B</t>
  </si>
  <si>
    <t>C</t>
  </si>
  <si>
    <t>D</t>
  </si>
  <si>
    <t>E</t>
  </si>
  <si>
    <t>ALQUILER AMPLIFICACION</t>
  </si>
  <si>
    <t>ANIMADOR SOCIOCULTURAL</t>
  </si>
  <si>
    <t>CLASE INDIVIDUAL DE CANTO Y EXPRESION</t>
  </si>
  <si>
    <t>CLASE INDIVIDUAL DE VIOLIN</t>
  </si>
  <si>
    <t>CLASES INDIVIDUALES DE INSTRUMENTO E INICIACION MUSICAL</t>
  </si>
  <si>
    <t>CORO COMFAMILIAR</t>
  </si>
  <si>
    <t>CURSO DE VIOLIN</t>
  </si>
  <si>
    <t>DECORACION CON GLOBOS</t>
  </si>
  <si>
    <t>INICIACION MUSICAL</t>
  </si>
  <si>
    <t>RECREADOR EMPRESA</t>
  </si>
  <si>
    <t>TALLER DE ARTES</t>
  </si>
  <si>
    <t>TALLER DE BAILE MODERNO</t>
  </si>
  <si>
    <t>TALLER DE BALLET</t>
  </si>
  <si>
    <t>TALLER DE BATERIA</t>
  </si>
  <si>
    <t>TALLER DE CHEFF INFANTIL</t>
  </si>
  <si>
    <t>TALLER DE DIBUJO</t>
  </si>
  <si>
    <t>TALLER DE GUITARRA</t>
  </si>
  <si>
    <t>TALLER DE INGLES LUDICO</t>
  </si>
  <si>
    <t>TALLER DE ORGANETA (T M)</t>
  </si>
  <si>
    <t>TALLER DE TECNICA VOCAL</t>
  </si>
  <si>
    <t>BALLET SANTA ROSA</t>
  </si>
  <si>
    <t>CHEF INFAN SANTAROSA</t>
  </si>
  <si>
    <t>INGLES LUDICO STA ROSA</t>
  </si>
  <si>
    <t>INGLES LUDICO QUINCHIA</t>
  </si>
  <si>
    <t>TALLER PINTURA QUINCHIA</t>
  </si>
  <si>
    <t>INGLES LUDICO DOSQUEBRADAS</t>
  </si>
  <si>
    <t>TALLER DIBUJO DOSQUEBRADAS</t>
  </si>
  <si>
    <t>TOTAL GENERAL</t>
  </si>
  <si>
    <t>INFORMACION SUPER</t>
  </si>
  <si>
    <t>ACTIVIDAD SUPER</t>
  </si>
  <si>
    <t>Empresas</t>
  </si>
  <si>
    <t>Total PERSONAS</t>
  </si>
  <si>
    <t>Total USOS</t>
  </si>
  <si>
    <t>PERSONAS</t>
  </si>
  <si>
    <t>USOS</t>
  </si>
  <si>
    <t>Recreación dirigida</t>
  </si>
  <si>
    <t>Otros eventos de tipo social celebrados con o sin infraestructura de las Cajas de Compensación Famil</t>
  </si>
  <si>
    <t>Total general</t>
  </si>
  <si>
    <t>FEBRERO 2025 USUARIOS</t>
  </si>
  <si>
    <t>FEBRERO 2025 USOS</t>
  </si>
  <si>
    <t>ACTIVIDADES RECREATIVAS EMPRESAS</t>
  </si>
  <si>
    <t>BINGO</t>
  </si>
  <si>
    <t>MACRO JUEGO</t>
  </si>
  <si>
    <t xml:space="preserve">TALLER DE ARTES </t>
  </si>
  <si>
    <t xml:space="preserve">TALLER PINTURA QUINCHIA </t>
  </si>
  <si>
    <t>Alianza B</t>
  </si>
  <si>
    <t>MARZO 2025 USUARIOS</t>
  </si>
  <si>
    <t>MARZO 2025 USOS</t>
  </si>
  <si>
    <t>INSTRUCTOR DE BIENESTAR</t>
  </si>
  <si>
    <t>TALLERISTA  EMPRESAS</t>
  </si>
  <si>
    <t>ABRIL 2025 USUARIOS</t>
  </si>
  <si>
    <t>ABRIL 2025 USOS</t>
  </si>
  <si>
    <t>MAYO 2025 USUARIOS</t>
  </si>
  <si>
    <t>MAYO 2025 USOS</t>
  </si>
  <si>
    <t>ACTIVIDAD FISICA MUSICALIZADA</t>
  </si>
  <si>
    <t>HORA LOCA</t>
  </si>
  <si>
    <t>RUMBATERAPIA VISUALIZACIÓN SEDES</t>
  </si>
  <si>
    <t>JUNIO 2025 USUARIOS</t>
  </si>
  <si>
    <t>JUNIO 2025 USOS</t>
  </si>
  <si>
    <t>RECREADOR FIESTA INFANTIL</t>
  </si>
  <si>
    <t>VACACIONES RECREATIVAS</t>
  </si>
  <si>
    <t>VACACIONES RECREO DEPORTIVAS PEREIRA</t>
  </si>
  <si>
    <t>VACACIONES RECREATIVAS ARTISTICAS SANTA ROSA</t>
  </si>
  <si>
    <t>VACACIONES RECREATIVAS ARTISTICAS QUINCHIA</t>
  </si>
  <si>
    <t>VACACIONES RECREATIVAS ARTISTICAS DOSQUEBRADAS</t>
  </si>
  <si>
    <t>Vacaciones recreativas</t>
  </si>
  <si>
    <t>JULIO 2025 USUARIOS</t>
  </si>
  <si>
    <t>JULIO 2025 USOS</t>
  </si>
  <si>
    <t>F</t>
  </si>
  <si>
    <t>ACTIVIDAD CONSOTA RUN</t>
  </si>
  <si>
    <t>KARAOKE</t>
  </si>
  <si>
    <t>AGOSTO 2025 USUARIOS</t>
  </si>
  <si>
    <t>AGOSTO 2025 USOS</t>
  </si>
  <si>
    <t>G</t>
  </si>
  <si>
    <t>FESTIVAL DE COMETAS</t>
  </si>
  <si>
    <t>SEPTIEMBRE 2025 USUARIOS</t>
  </si>
  <si>
    <t>SEPTIEMBRE 2025 USOS</t>
  </si>
  <si>
    <t>OCTUBRE 2025 USUARIOS</t>
  </si>
  <si>
    <t>OCTUBRE 2025 USOS</t>
  </si>
  <si>
    <t>CELEBRACIÓN DEL MES DE LA NIÑEZ Y LA RECREACIÓN</t>
  </si>
  <si>
    <t>CELEBRACION DIA DULCE MARSELLA</t>
  </si>
  <si>
    <t>SERVICIOS PROFESIONALES DE RECREACION</t>
  </si>
  <si>
    <t>NOVIEMBRE 2025 USUARIOS</t>
  </si>
  <si>
    <t>NOVIEMBRE 2025 USOS</t>
  </si>
  <si>
    <t>INFLABLES</t>
  </si>
  <si>
    <t>RECREACIÓN VINCULACIÓN COLEGIOS RISARALDA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</si>
</sst>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8" x14ac:knownFonts="1">
    <font>
      <sz val="11"/>
      <color rgb="FF000000"/>
      <name val="Calibri"/>
      <charset val="1"/>
    </font>
    <font>
      <b/>
      <sz val="20"/>
      <color rgb="FF000000"/>
      <name val="Calibri"/>
      <charset val="1"/>
    </font>
    <font>
      <b/>
      <u/>
      <sz val="10"/>
      <color rgb="FF00206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charset val="1"/>
    </font>
    <font>
      <sz val="10"/>
      <color rgb="FF000000"/>
      <name val="Arial"/>
      <family val="2"/>
      <charset val="1"/>
    </font>
    <font>
      <b/>
      <sz val="16"/>
      <color rgb="FF000000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7CAAC"/>
        <bgColor rgb="FFFFA6A6"/>
      </patternFill>
    </fill>
    <fill>
      <patternFill patternType="solid">
        <fgColor rgb="FFB4C6E7"/>
        <bgColor rgb="FFCCCCFF"/>
      </patternFill>
    </fill>
    <fill>
      <patternFill patternType="solid">
        <fgColor rgb="FFFFA6A6"/>
        <bgColor rgb="FFF7CAAC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2" fillId="3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zoomScale="80" zoomScaleNormal="80" workbookViewId="0">
      <pane ySplit="3" topLeftCell="A31" activePane="bottomLeft" state="frozen"/>
      <selection pane="bottomLeft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8" width="10.54296875" customWidth="1"/>
    <col min="9" max="9" width="7.7265625" customWidth="1"/>
    <col min="10" max="10" width="9.7265625" customWidth="1"/>
    <col min="11" max="11" width="8.81640625" customWidth="1"/>
    <col min="12" max="12" width="9.81640625" customWidth="1"/>
    <col min="13" max="13" width="9.54296875" customWidth="1"/>
    <col min="1024" max="1024" width="11.54296875" customWidth="1"/>
  </cols>
  <sheetData>
    <row r="1" spans="1:23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3" ht="15" customHeight="1" x14ac:dyDescent="0.35">
      <c r="A2" s="36" t="s">
        <v>1</v>
      </c>
      <c r="B2" s="37" t="s">
        <v>2</v>
      </c>
      <c r="C2" s="38" t="s">
        <v>3</v>
      </c>
      <c r="D2" s="39" t="s">
        <v>4</v>
      </c>
      <c r="E2" s="39"/>
      <c r="F2" s="39"/>
      <c r="G2" s="39"/>
      <c r="H2" s="39"/>
      <c r="I2" s="39" t="s">
        <v>5</v>
      </c>
      <c r="J2" s="39"/>
      <c r="K2" s="39"/>
      <c r="L2" s="39"/>
      <c r="M2" s="39"/>
    </row>
    <row r="3" spans="1:23" ht="33.15" customHeight="1" x14ac:dyDescent="0.35">
      <c r="A3" s="36"/>
      <c r="B3" s="37"/>
      <c r="C3" s="38"/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23" x14ac:dyDescent="0.35">
      <c r="A4" s="3">
        <v>3792</v>
      </c>
      <c r="B4" s="3">
        <f t="shared" ref="B4:B24" si="0">SUM(D4:H4)</f>
        <v>514</v>
      </c>
      <c r="C4" s="3">
        <f t="shared" ref="C4:C24" si="1">SUM(I4:M4)</f>
        <v>689</v>
      </c>
      <c r="D4" s="3">
        <f t="shared" ref="D4:M4" si="2">SUM(D5:D24)</f>
        <v>316</v>
      </c>
      <c r="E4" s="3">
        <f t="shared" si="2"/>
        <v>147</v>
      </c>
      <c r="F4" s="3">
        <f t="shared" si="2"/>
        <v>17</v>
      </c>
      <c r="G4" s="3">
        <f t="shared" si="2"/>
        <v>30</v>
      </c>
      <c r="H4" s="3">
        <f t="shared" si="2"/>
        <v>4</v>
      </c>
      <c r="I4" s="3">
        <f t="shared" si="2"/>
        <v>416</v>
      </c>
      <c r="J4" s="3">
        <f t="shared" si="2"/>
        <v>209</v>
      </c>
      <c r="K4" s="3">
        <f t="shared" si="2"/>
        <v>22</v>
      </c>
      <c r="L4" s="3">
        <f t="shared" si="2"/>
        <v>35</v>
      </c>
      <c r="M4" s="3">
        <f t="shared" si="2"/>
        <v>7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5" t="s">
        <v>11</v>
      </c>
      <c r="B5" s="6">
        <f t="shared" si="0"/>
        <v>1</v>
      </c>
      <c r="C5" s="6">
        <f t="shared" si="1"/>
        <v>2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2</v>
      </c>
    </row>
    <row r="6" spans="1:23" x14ac:dyDescent="0.35">
      <c r="A6" s="5" t="s">
        <v>12</v>
      </c>
      <c r="B6" s="6">
        <f t="shared" si="0"/>
        <v>1</v>
      </c>
      <c r="C6" s="6">
        <f t="shared" si="1"/>
        <v>2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2</v>
      </c>
    </row>
    <row r="7" spans="1:23" x14ac:dyDescent="0.35">
      <c r="A7" s="5" t="s">
        <v>13</v>
      </c>
      <c r="B7" s="6">
        <f t="shared" si="0"/>
        <v>23</v>
      </c>
      <c r="C7" s="6">
        <f t="shared" si="1"/>
        <v>32</v>
      </c>
      <c r="D7" s="5">
        <v>14</v>
      </c>
      <c r="E7" s="5">
        <v>8</v>
      </c>
      <c r="F7" s="5">
        <v>1</v>
      </c>
      <c r="G7" s="5">
        <v>0</v>
      </c>
      <c r="H7" s="5">
        <v>0</v>
      </c>
      <c r="I7" s="5">
        <v>20</v>
      </c>
      <c r="J7" s="5">
        <v>11</v>
      </c>
      <c r="K7" s="5">
        <v>1</v>
      </c>
      <c r="L7" s="5">
        <v>0</v>
      </c>
      <c r="M7" s="5">
        <v>0</v>
      </c>
    </row>
    <row r="8" spans="1:23" x14ac:dyDescent="0.35">
      <c r="A8" s="5" t="s">
        <v>14</v>
      </c>
      <c r="B8" s="6">
        <f t="shared" si="0"/>
        <v>2</v>
      </c>
      <c r="C8" s="6">
        <f t="shared" si="1"/>
        <v>2</v>
      </c>
      <c r="D8" s="5">
        <v>2</v>
      </c>
      <c r="E8" s="5">
        <v>0</v>
      </c>
      <c r="F8" s="5">
        <v>0</v>
      </c>
      <c r="G8" s="5">
        <v>0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23" x14ac:dyDescent="0.35">
      <c r="A9" s="5" t="s">
        <v>15</v>
      </c>
      <c r="B9" s="6">
        <f t="shared" si="0"/>
        <v>38</v>
      </c>
      <c r="C9" s="6">
        <f t="shared" si="1"/>
        <v>47</v>
      </c>
      <c r="D9" s="5">
        <v>21</v>
      </c>
      <c r="E9" s="5">
        <v>16</v>
      </c>
      <c r="F9" s="5">
        <v>0</v>
      </c>
      <c r="G9" s="5">
        <v>1</v>
      </c>
      <c r="H9" s="5">
        <v>0</v>
      </c>
      <c r="I9" s="5">
        <v>23</v>
      </c>
      <c r="J9" s="5">
        <v>23</v>
      </c>
      <c r="K9" s="5">
        <v>0</v>
      </c>
      <c r="L9" s="5">
        <v>1</v>
      </c>
      <c r="M9" s="5">
        <v>0</v>
      </c>
    </row>
    <row r="10" spans="1:23" x14ac:dyDescent="0.35">
      <c r="A10" s="5" t="s">
        <v>16</v>
      </c>
      <c r="B10" s="6">
        <f t="shared" si="0"/>
        <v>2</v>
      </c>
      <c r="C10" s="6">
        <f t="shared" si="1"/>
        <v>4</v>
      </c>
      <c r="D10" s="5">
        <v>0</v>
      </c>
      <c r="E10" s="5">
        <v>2</v>
      </c>
      <c r="F10" s="5">
        <v>0</v>
      </c>
      <c r="G10" s="5">
        <v>0</v>
      </c>
      <c r="H10" s="5">
        <v>0</v>
      </c>
      <c r="I10" s="5">
        <v>0</v>
      </c>
      <c r="J10" s="5">
        <v>4</v>
      </c>
      <c r="K10" s="5">
        <v>0</v>
      </c>
      <c r="L10" s="5">
        <v>0</v>
      </c>
      <c r="M10" s="5">
        <v>0</v>
      </c>
    </row>
    <row r="11" spans="1:23" x14ac:dyDescent="0.35">
      <c r="A11" s="5" t="s">
        <v>17</v>
      </c>
      <c r="B11" s="6">
        <f t="shared" si="0"/>
        <v>12</v>
      </c>
      <c r="C11" s="6">
        <f t="shared" si="1"/>
        <v>19</v>
      </c>
      <c r="D11" s="5">
        <v>10</v>
      </c>
      <c r="E11" s="5">
        <v>0</v>
      </c>
      <c r="F11" s="5">
        <v>1</v>
      </c>
      <c r="G11" s="5">
        <v>1</v>
      </c>
      <c r="H11" s="5">
        <v>0</v>
      </c>
      <c r="I11" s="5">
        <v>17</v>
      </c>
      <c r="J11" s="5">
        <v>0</v>
      </c>
      <c r="K11" s="5">
        <v>1</v>
      </c>
      <c r="L11" s="5">
        <v>1</v>
      </c>
      <c r="M11" s="5">
        <v>0</v>
      </c>
    </row>
    <row r="12" spans="1:23" x14ac:dyDescent="0.35">
      <c r="A12" s="5" t="s">
        <v>18</v>
      </c>
      <c r="B12" s="6">
        <f t="shared" si="0"/>
        <v>1</v>
      </c>
      <c r="C12" s="6">
        <f t="shared" si="1"/>
        <v>2</v>
      </c>
      <c r="D12" s="5">
        <v>0</v>
      </c>
      <c r="E12" s="5">
        <v>0</v>
      </c>
      <c r="F12" s="5">
        <v>0</v>
      </c>
      <c r="G12" s="5">
        <v>0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2</v>
      </c>
    </row>
    <row r="13" spans="1:23" x14ac:dyDescent="0.35">
      <c r="A13" s="5" t="s">
        <v>19</v>
      </c>
      <c r="B13" s="6">
        <f t="shared" si="0"/>
        <v>7</v>
      </c>
      <c r="C13" s="6">
        <f t="shared" si="1"/>
        <v>7</v>
      </c>
      <c r="D13" s="5">
        <v>4</v>
      </c>
      <c r="E13" s="5">
        <v>2</v>
      </c>
      <c r="F13" s="5">
        <v>0</v>
      </c>
      <c r="G13" s="5">
        <v>1</v>
      </c>
      <c r="H13" s="5">
        <v>0</v>
      </c>
      <c r="I13" s="5">
        <v>4</v>
      </c>
      <c r="J13" s="5">
        <v>2</v>
      </c>
      <c r="K13" s="5">
        <v>0</v>
      </c>
      <c r="L13" s="5">
        <v>1</v>
      </c>
      <c r="M13" s="5">
        <v>0</v>
      </c>
    </row>
    <row r="14" spans="1:23" x14ac:dyDescent="0.35">
      <c r="A14" s="5" t="s">
        <v>20</v>
      </c>
      <c r="B14" s="6">
        <f t="shared" si="0"/>
        <v>1</v>
      </c>
      <c r="C14" s="6">
        <f t="shared" si="1"/>
        <v>1</v>
      </c>
      <c r="D14" s="5">
        <v>0</v>
      </c>
      <c r="E14" s="5">
        <v>0</v>
      </c>
      <c r="F14" s="5">
        <v>0</v>
      </c>
      <c r="G14" s="5">
        <v>0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</row>
    <row r="15" spans="1:23" x14ac:dyDescent="0.35">
      <c r="A15" s="5" t="s">
        <v>21</v>
      </c>
      <c r="B15" s="6">
        <f t="shared" si="0"/>
        <v>61</v>
      </c>
      <c r="C15" s="6">
        <f t="shared" si="1"/>
        <v>81</v>
      </c>
      <c r="D15" s="5">
        <v>30</v>
      </c>
      <c r="E15" s="5">
        <v>25</v>
      </c>
      <c r="F15" s="5">
        <v>3</v>
      </c>
      <c r="G15" s="5">
        <v>3</v>
      </c>
      <c r="H15" s="5">
        <v>0</v>
      </c>
      <c r="I15" s="5">
        <v>40</v>
      </c>
      <c r="J15" s="5">
        <v>34</v>
      </c>
      <c r="K15" s="5">
        <v>3</v>
      </c>
      <c r="L15" s="5">
        <v>4</v>
      </c>
      <c r="M15" s="5">
        <v>0</v>
      </c>
    </row>
    <row r="16" spans="1:23" x14ac:dyDescent="0.35">
      <c r="A16" s="5" t="s">
        <v>22</v>
      </c>
      <c r="B16" s="6">
        <f t="shared" si="0"/>
        <v>32</v>
      </c>
      <c r="C16" s="6">
        <f t="shared" si="1"/>
        <v>45</v>
      </c>
      <c r="D16" s="5">
        <v>17</v>
      </c>
      <c r="E16" s="5">
        <v>12</v>
      </c>
      <c r="F16" s="5">
        <v>1</v>
      </c>
      <c r="G16" s="5">
        <v>2</v>
      </c>
      <c r="H16" s="5">
        <v>0</v>
      </c>
      <c r="I16" s="5">
        <v>23</v>
      </c>
      <c r="J16" s="5">
        <v>19</v>
      </c>
      <c r="K16" s="5">
        <v>1</v>
      </c>
      <c r="L16" s="5">
        <v>2</v>
      </c>
      <c r="M16" s="5">
        <v>0</v>
      </c>
    </row>
    <row r="17" spans="1:23" x14ac:dyDescent="0.35">
      <c r="A17" s="5" t="s">
        <v>23</v>
      </c>
      <c r="B17" s="6">
        <f t="shared" si="0"/>
        <v>64</v>
      </c>
      <c r="C17" s="6">
        <f t="shared" si="1"/>
        <v>92</v>
      </c>
      <c r="D17" s="5">
        <v>36</v>
      </c>
      <c r="E17" s="5">
        <v>20</v>
      </c>
      <c r="F17" s="5">
        <v>4</v>
      </c>
      <c r="G17" s="5">
        <v>4</v>
      </c>
      <c r="H17" s="5">
        <v>0</v>
      </c>
      <c r="I17" s="5">
        <v>43</v>
      </c>
      <c r="J17" s="5">
        <v>35</v>
      </c>
      <c r="K17" s="5">
        <v>8</v>
      </c>
      <c r="L17" s="5">
        <v>6</v>
      </c>
      <c r="M17" s="5">
        <v>0</v>
      </c>
    </row>
    <row r="18" spans="1:23" x14ac:dyDescent="0.35">
      <c r="A18" s="5" t="s">
        <v>24</v>
      </c>
      <c r="B18" s="6">
        <f t="shared" si="0"/>
        <v>12</v>
      </c>
      <c r="C18" s="6">
        <f t="shared" si="1"/>
        <v>14</v>
      </c>
      <c r="D18" s="5">
        <v>9</v>
      </c>
      <c r="E18" s="5">
        <v>1</v>
      </c>
      <c r="F18" s="5">
        <v>0</v>
      </c>
      <c r="G18" s="5">
        <v>2</v>
      </c>
      <c r="H18" s="5">
        <v>0</v>
      </c>
      <c r="I18" s="5">
        <v>11</v>
      </c>
      <c r="J18" s="5">
        <v>1</v>
      </c>
      <c r="K18" s="5">
        <v>0</v>
      </c>
      <c r="L18" s="5">
        <v>2</v>
      </c>
      <c r="M18" s="5">
        <v>0</v>
      </c>
    </row>
    <row r="19" spans="1:23" x14ac:dyDescent="0.35">
      <c r="A19" s="5" t="s">
        <v>25</v>
      </c>
      <c r="B19" s="6">
        <f t="shared" si="0"/>
        <v>62</v>
      </c>
      <c r="C19" s="6">
        <f t="shared" si="1"/>
        <v>74</v>
      </c>
      <c r="D19" s="5">
        <v>46</v>
      </c>
      <c r="E19" s="5">
        <v>10</v>
      </c>
      <c r="F19" s="5">
        <v>2</v>
      </c>
      <c r="G19" s="5">
        <v>4</v>
      </c>
      <c r="H19" s="5">
        <v>0</v>
      </c>
      <c r="I19" s="5">
        <v>57</v>
      </c>
      <c r="J19" s="5">
        <v>10</v>
      </c>
      <c r="K19" s="5">
        <v>3</v>
      </c>
      <c r="L19" s="5">
        <v>4</v>
      </c>
      <c r="M19" s="5">
        <v>0</v>
      </c>
    </row>
    <row r="20" spans="1:23" x14ac:dyDescent="0.35">
      <c r="A20" s="5" t="s">
        <v>26</v>
      </c>
      <c r="B20" s="6">
        <f t="shared" si="0"/>
        <v>38</v>
      </c>
      <c r="C20" s="6">
        <f t="shared" si="1"/>
        <v>57</v>
      </c>
      <c r="D20" s="5">
        <v>25</v>
      </c>
      <c r="E20" s="5">
        <v>10</v>
      </c>
      <c r="F20" s="5">
        <v>1</v>
      </c>
      <c r="G20" s="5">
        <v>2</v>
      </c>
      <c r="H20" s="5">
        <v>0</v>
      </c>
      <c r="I20" s="5">
        <v>40</v>
      </c>
      <c r="J20" s="5">
        <v>14</v>
      </c>
      <c r="K20" s="5">
        <v>1</v>
      </c>
      <c r="L20" s="5">
        <v>2</v>
      </c>
      <c r="M20" s="5">
        <v>0</v>
      </c>
    </row>
    <row r="21" spans="1:23" x14ac:dyDescent="0.35">
      <c r="A21" s="5" t="s">
        <v>27</v>
      </c>
      <c r="B21" s="6">
        <f t="shared" si="0"/>
        <v>29</v>
      </c>
      <c r="C21" s="6">
        <f t="shared" si="1"/>
        <v>36</v>
      </c>
      <c r="D21" s="5">
        <v>10</v>
      </c>
      <c r="E21" s="5">
        <v>14</v>
      </c>
      <c r="F21" s="5">
        <v>2</v>
      </c>
      <c r="G21" s="5">
        <v>3</v>
      </c>
      <c r="H21" s="5">
        <v>0</v>
      </c>
      <c r="I21" s="5">
        <v>13</v>
      </c>
      <c r="J21" s="5">
        <v>18</v>
      </c>
      <c r="K21" s="5">
        <v>2</v>
      </c>
      <c r="L21" s="5">
        <v>3</v>
      </c>
      <c r="M21" s="5">
        <v>0</v>
      </c>
    </row>
    <row r="22" spans="1:23" x14ac:dyDescent="0.35">
      <c r="A22" s="5" t="s">
        <v>28</v>
      </c>
      <c r="B22" s="6">
        <f t="shared" si="0"/>
        <v>75</v>
      </c>
      <c r="C22" s="6">
        <f t="shared" si="1"/>
        <v>109</v>
      </c>
      <c r="D22" s="5">
        <v>57</v>
      </c>
      <c r="E22" s="5">
        <v>15</v>
      </c>
      <c r="F22" s="5">
        <v>1</v>
      </c>
      <c r="G22" s="5">
        <v>2</v>
      </c>
      <c r="H22" s="5">
        <v>0</v>
      </c>
      <c r="I22" s="5">
        <v>84</v>
      </c>
      <c r="J22" s="5">
        <v>21</v>
      </c>
      <c r="K22" s="5">
        <v>1</v>
      </c>
      <c r="L22" s="5">
        <v>3</v>
      </c>
      <c r="M22" s="5">
        <v>0</v>
      </c>
    </row>
    <row r="23" spans="1:23" x14ac:dyDescent="0.35">
      <c r="A23" s="5" t="s">
        <v>29</v>
      </c>
      <c r="B23" s="6">
        <f t="shared" si="0"/>
        <v>10</v>
      </c>
      <c r="C23" s="6">
        <f t="shared" si="1"/>
        <v>14</v>
      </c>
      <c r="D23" s="5">
        <v>5</v>
      </c>
      <c r="E23" s="5">
        <v>4</v>
      </c>
      <c r="F23" s="5">
        <v>0</v>
      </c>
      <c r="G23" s="5">
        <v>1</v>
      </c>
      <c r="H23" s="5">
        <v>0</v>
      </c>
      <c r="I23" s="5">
        <v>6</v>
      </c>
      <c r="J23" s="5">
        <v>7</v>
      </c>
      <c r="K23" s="5">
        <v>0</v>
      </c>
      <c r="L23" s="5">
        <v>1</v>
      </c>
      <c r="M23" s="5">
        <v>0</v>
      </c>
    </row>
    <row r="24" spans="1:23" x14ac:dyDescent="0.35">
      <c r="A24" s="5" t="s">
        <v>30</v>
      </c>
      <c r="B24" s="6">
        <f t="shared" si="0"/>
        <v>43</v>
      </c>
      <c r="C24" s="6">
        <f t="shared" si="1"/>
        <v>49</v>
      </c>
      <c r="D24" s="5">
        <v>30</v>
      </c>
      <c r="E24" s="5">
        <v>8</v>
      </c>
      <c r="F24" s="5">
        <v>1</v>
      </c>
      <c r="G24" s="5">
        <v>4</v>
      </c>
      <c r="H24" s="5">
        <v>0</v>
      </c>
      <c r="I24" s="5">
        <v>33</v>
      </c>
      <c r="J24" s="5">
        <v>10</v>
      </c>
      <c r="K24" s="5">
        <v>1</v>
      </c>
      <c r="L24" s="5">
        <v>5</v>
      </c>
      <c r="M24" s="5">
        <v>0</v>
      </c>
    </row>
    <row r="25" spans="1:23" x14ac:dyDescent="0.35">
      <c r="A25" s="7">
        <v>3794</v>
      </c>
      <c r="B25" s="8">
        <f t="shared" ref="B25:M25" si="3">SUM(B26:B28)</f>
        <v>103</v>
      </c>
      <c r="C25" s="8">
        <f t="shared" si="3"/>
        <v>128</v>
      </c>
      <c r="D25" s="8">
        <f t="shared" si="3"/>
        <v>68</v>
      </c>
      <c r="E25" s="8">
        <f t="shared" si="3"/>
        <v>19</v>
      </c>
      <c r="F25" s="8">
        <f t="shared" si="3"/>
        <v>4</v>
      </c>
      <c r="G25" s="8">
        <f t="shared" si="3"/>
        <v>12</v>
      </c>
      <c r="H25" s="8">
        <f t="shared" si="3"/>
        <v>0</v>
      </c>
      <c r="I25" s="8">
        <f t="shared" si="3"/>
        <v>91</v>
      </c>
      <c r="J25" s="8">
        <f t="shared" si="3"/>
        <v>21</v>
      </c>
      <c r="K25" s="8">
        <f t="shared" si="3"/>
        <v>4</v>
      </c>
      <c r="L25" s="8">
        <f t="shared" si="3"/>
        <v>12</v>
      </c>
      <c r="M25" s="8">
        <f t="shared" si="3"/>
        <v>0</v>
      </c>
    </row>
    <row r="26" spans="1:23" x14ac:dyDescent="0.35">
      <c r="A26" s="5" t="s">
        <v>31</v>
      </c>
      <c r="B26" s="9">
        <f t="shared" ref="B26:B34" si="4">SUM(D26:H26)</f>
        <v>31</v>
      </c>
      <c r="C26" s="9">
        <f t="shared" ref="C26:C34" si="5">SUM(I26:M26)</f>
        <v>39</v>
      </c>
      <c r="D26" s="5">
        <v>24</v>
      </c>
      <c r="E26" s="5">
        <v>3</v>
      </c>
      <c r="F26" s="5">
        <v>2</v>
      </c>
      <c r="G26" s="5">
        <v>2</v>
      </c>
      <c r="H26" s="9">
        <v>0</v>
      </c>
      <c r="I26" s="5">
        <v>32</v>
      </c>
      <c r="J26" s="5">
        <v>3</v>
      </c>
      <c r="K26" s="5">
        <v>2</v>
      </c>
      <c r="L26" s="5">
        <v>2</v>
      </c>
      <c r="M26" s="9">
        <v>0</v>
      </c>
    </row>
    <row r="27" spans="1:23" x14ac:dyDescent="0.35">
      <c r="A27" s="5" t="s">
        <v>32</v>
      </c>
      <c r="B27" s="9">
        <f t="shared" si="4"/>
        <v>23</v>
      </c>
      <c r="C27" s="9">
        <f t="shared" si="5"/>
        <v>30</v>
      </c>
      <c r="D27" s="5">
        <v>14</v>
      </c>
      <c r="E27" s="5">
        <v>6</v>
      </c>
      <c r="F27" s="5">
        <v>2</v>
      </c>
      <c r="G27" s="5">
        <v>1</v>
      </c>
      <c r="H27" s="9">
        <v>0</v>
      </c>
      <c r="I27" s="5">
        <v>20</v>
      </c>
      <c r="J27" s="5">
        <v>7</v>
      </c>
      <c r="K27" s="5">
        <v>2</v>
      </c>
      <c r="L27" s="5">
        <v>1</v>
      </c>
      <c r="M27" s="9">
        <v>0</v>
      </c>
      <c r="N27" s="4"/>
      <c r="O27" s="4"/>
    </row>
    <row r="28" spans="1:23" x14ac:dyDescent="0.35">
      <c r="A28" s="5" t="s">
        <v>33</v>
      </c>
      <c r="B28" s="9">
        <f t="shared" si="4"/>
        <v>49</v>
      </c>
      <c r="C28" s="9">
        <f t="shared" si="5"/>
        <v>59</v>
      </c>
      <c r="D28" s="5">
        <v>30</v>
      </c>
      <c r="E28" s="5">
        <v>10</v>
      </c>
      <c r="F28" s="5">
        <v>0</v>
      </c>
      <c r="G28" s="5">
        <v>9</v>
      </c>
      <c r="H28" s="9">
        <v>0</v>
      </c>
      <c r="I28" s="5">
        <v>39</v>
      </c>
      <c r="J28" s="5">
        <v>11</v>
      </c>
      <c r="K28" s="5">
        <v>0</v>
      </c>
      <c r="L28" s="5">
        <v>9</v>
      </c>
      <c r="M28" s="9">
        <v>0</v>
      </c>
    </row>
    <row r="29" spans="1:23" x14ac:dyDescent="0.35">
      <c r="A29" s="7">
        <v>3795</v>
      </c>
      <c r="B29" s="8">
        <f t="shared" si="4"/>
        <v>61</v>
      </c>
      <c r="C29" s="8">
        <f t="shared" si="5"/>
        <v>72</v>
      </c>
      <c r="D29" s="8">
        <f t="shared" ref="D29:M29" si="6">SUM(D30:D31)</f>
        <v>29</v>
      </c>
      <c r="E29" s="8">
        <f t="shared" si="6"/>
        <v>6</v>
      </c>
      <c r="F29" s="8">
        <f t="shared" si="6"/>
        <v>7</v>
      </c>
      <c r="G29" s="8">
        <f t="shared" si="6"/>
        <v>19</v>
      </c>
      <c r="H29" s="8">
        <f t="shared" si="6"/>
        <v>0</v>
      </c>
      <c r="I29" s="8">
        <f t="shared" si="6"/>
        <v>39</v>
      </c>
      <c r="J29" s="8">
        <f t="shared" si="6"/>
        <v>6</v>
      </c>
      <c r="K29" s="8">
        <f t="shared" si="6"/>
        <v>7</v>
      </c>
      <c r="L29" s="8">
        <f t="shared" si="6"/>
        <v>20</v>
      </c>
      <c r="M29" s="8">
        <f t="shared" si="6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35">
      <c r="A30" s="5" t="s">
        <v>34</v>
      </c>
      <c r="B30" s="9">
        <f t="shared" si="4"/>
        <v>23</v>
      </c>
      <c r="C30" s="9">
        <f t="shared" si="5"/>
        <v>28</v>
      </c>
      <c r="D30" s="5">
        <v>11</v>
      </c>
      <c r="E30" s="5">
        <v>3</v>
      </c>
      <c r="F30" s="5">
        <v>3</v>
      </c>
      <c r="G30" s="5">
        <v>6</v>
      </c>
      <c r="H30" s="9">
        <v>0</v>
      </c>
      <c r="I30" s="5">
        <v>16</v>
      </c>
      <c r="J30" s="5">
        <v>3</v>
      </c>
      <c r="K30" s="5">
        <v>3</v>
      </c>
      <c r="L30" s="5">
        <v>6</v>
      </c>
      <c r="M30" s="9">
        <v>0</v>
      </c>
    </row>
    <row r="31" spans="1:23" x14ac:dyDescent="0.35">
      <c r="A31" s="5" t="s">
        <v>35</v>
      </c>
      <c r="B31" s="9">
        <f t="shared" si="4"/>
        <v>38</v>
      </c>
      <c r="C31" s="9">
        <f t="shared" si="5"/>
        <v>44</v>
      </c>
      <c r="D31" s="5">
        <v>18</v>
      </c>
      <c r="E31" s="5">
        <v>3</v>
      </c>
      <c r="F31" s="5">
        <v>4</v>
      </c>
      <c r="G31" s="5">
        <v>13</v>
      </c>
      <c r="H31" s="9">
        <v>0</v>
      </c>
      <c r="I31" s="5">
        <v>23</v>
      </c>
      <c r="J31" s="5">
        <v>3</v>
      </c>
      <c r="K31" s="5">
        <v>4</v>
      </c>
      <c r="L31" s="5">
        <v>14</v>
      </c>
      <c r="M31" s="9">
        <v>0</v>
      </c>
      <c r="P31" s="4"/>
      <c r="Q31" s="4"/>
      <c r="R31" s="4"/>
      <c r="S31" s="4"/>
      <c r="T31" s="4"/>
      <c r="U31" s="4"/>
      <c r="V31" s="4"/>
      <c r="W31" s="4"/>
    </row>
    <row r="32" spans="1:23" x14ac:dyDescent="0.35">
      <c r="A32" s="7">
        <v>3791</v>
      </c>
      <c r="B32" s="10">
        <f t="shared" si="4"/>
        <v>60</v>
      </c>
      <c r="C32" s="10">
        <f t="shared" si="5"/>
        <v>69</v>
      </c>
      <c r="D32" s="10">
        <f t="shared" ref="D32:M32" si="7">SUM(D33:D34)</f>
        <v>28</v>
      </c>
      <c r="E32" s="10">
        <f t="shared" si="7"/>
        <v>27</v>
      </c>
      <c r="F32" s="10">
        <f t="shared" si="7"/>
        <v>1</v>
      </c>
      <c r="G32" s="10">
        <f t="shared" si="7"/>
        <v>4</v>
      </c>
      <c r="H32" s="10">
        <f t="shared" si="7"/>
        <v>0</v>
      </c>
      <c r="I32" s="10">
        <f t="shared" si="7"/>
        <v>30</v>
      </c>
      <c r="J32" s="10">
        <f t="shared" si="7"/>
        <v>34</v>
      </c>
      <c r="K32" s="10">
        <f t="shared" si="7"/>
        <v>1</v>
      </c>
      <c r="L32" s="10">
        <f t="shared" si="7"/>
        <v>4</v>
      </c>
      <c r="M32" s="10">
        <f t="shared" si="7"/>
        <v>0</v>
      </c>
    </row>
    <row r="33" spans="1:23" x14ac:dyDescent="0.35">
      <c r="A33" s="5" t="s">
        <v>36</v>
      </c>
      <c r="B33" s="6">
        <f t="shared" si="4"/>
        <v>31</v>
      </c>
      <c r="C33" s="9">
        <f t="shared" si="5"/>
        <v>37</v>
      </c>
      <c r="D33" s="5">
        <v>16</v>
      </c>
      <c r="E33" s="5">
        <v>13</v>
      </c>
      <c r="F33" s="5">
        <v>1</v>
      </c>
      <c r="G33" s="5">
        <v>1</v>
      </c>
      <c r="H33" s="9">
        <v>0</v>
      </c>
      <c r="I33" s="5">
        <v>18</v>
      </c>
      <c r="J33" s="5">
        <v>17</v>
      </c>
      <c r="K33" s="5">
        <v>1</v>
      </c>
      <c r="L33" s="5">
        <v>1</v>
      </c>
      <c r="M33" s="9">
        <v>0</v>
      </c>
      <c r="N33" s="4"/>
      <c r="O33" s="4"/>
    </row>
    <row r="34" spans="1:23" x14ac:dyDescent="0.35">
      <c r="A34" s="5" t="s">
        <v>37</v>
      </c>
      <c r="B34" s="6">
        <f t="shared" si="4"/>
        <v>29</v>
      </c>
      <c r="C34" s="9">
        <f t="shared" si="5"/>
        <v>32</v>
      </c>
      <c r="D34" s="5">
        <v>12</v>
      </c>
      <c r="E34" s="5">
        <v>14</v>
      </c>
      <c r="F34" s="5">
        <v>0</v>
      </c>
      <c r="G34" s="5">
        <v>3</v>
      </c>
      <c r="H34" s="9">
        <v>0</v>
      </c>
      <c r="I34" s="5">
        <v>12</v>
      </c>
      <c r="J34" s="5">
        <v>17</v>
      </c>
      <c r="K34" s="5">
        <v>0</v>
      </c>
      <c r="L34" s="5">
        <v>3</v>
      </c>
      <c r="M34" s="9">
        <v>0</v>
      </c>
    </row>
    <row r="35" spans="1:23" x14ac:dyDescent="0.35">
      <c r="A35" s="11" t="s">
        <v>38</v>
      </c>
      <c r="B35" s="12">
        <f t="shared" ref="B35:M35" si="8">B4+B25+B29+B32</f>
        <v>738</v>
      </c>
      <c r="C35" s="12">
        <f t="shared" si="8"/>
        <v>958</v>
      </c>
      <c r="D35" s="12">
        <f t="shared" si="8"/>
        <v>441</v>
      </c>
      <c r="E35" s="12">
        <f t="shared" si="8"/>
        <v>199</v>
      </c>
      <c r="F35" s="12">
        <f t="shared" si="8"/>
        <v>29</v>
      </c>
      <c r="G35" s="12">
        <f t="shared" si="8"/>
        <v>65</v>
      </c>
      <c r="H35" s="12">
        <f t="shared" si="8"/>
        <v>4</v>
      </c>
      <c r="I35" s="12">
        <f t="shared" si="8"/>
        <v>576</v>
      </c>
      <c r="J35" s="12">
        <f t="shared" si="8"/>
        <v>270</v>
      </c>
      <c r="K35" s="12">
        <f t="shared" si="8"/>
        <v>34</v>
      </c>
      <c r="L35" s="12">
        <f t="shared" si="8"/>
        <v>71</v>
      </c>
      <c r="M35" s="12">
        <f t="shared" si="8"/>
        <v>7</v>
      </c>
    </row>
    <row r="36" spans="1:23" x14ac:dyDescent="0.35">
      <c r="P36" s="4"/>
      <c r="Q36" s="4"/>
      <c r="R36" s="4"/>
      <c r="S36" s="4"/>
      <c r="T36" s="4"/>
      <c r="U36" s="4"/>
      <c r="V36" s="4"/>
      <c r="W36" s="4"/>
    </row>
    <row r="37" spans="1:23" ht="20" x14ac:dyDescent="0.35">
      <c r="A37" s="33" t="s">
        <v>39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23" x14ac:dyDescent="0.35">
      <c r="A38" s="34" t="s">
        <v>40</v>
      </c>
      <c r="B38" s="13" t="s">
        <v>6</v>
      </c>
      <c r="C38" s="13"/>
      <c r="D38" s="13" t="s">
        <v>7</v>
      </c>
      <c r="E38" s="13"/>
      <c r="F38" s="13" t="s">
        <v>8</v>
      </c>
      <c r="G38" s="13"/>
      <c r="H38" s="13" t="s">
        <v>9</v>
      </c>
      <c r="I38" s="13"/>
      <c r="J38" s="13" t="s">
        <v>41</v>
      </c>
      <c r="K38" s="13"/>
      <c r="L38" s="13" t="s">
        <v>42</v>
      </c>
      <c r="M38" s="13" t="s">
        <v>43</v>
      </c>
    </row>
    <row r="39" spans="1:23" x14ac:dyDescent="0.35">
      <c r="A39" s="34"/>
      <c r="B39" s="13" t="s">
        <v>44</v>
      </c>
      <c r="C39" s="13" t="s">
        <v>45</v>
      </c>
      <c r="D39" s="13" t="s">
        <v>44</v>
      </c>
      <c r="E39" s="13" t="s">
        <v>45</v>
      </c>
      <c r="F39" s="13" t="s">
        <v>44</v>
      </c>
      <c r="G39" s="13" t="s">
        <v>45</v>
      </c>
      <c r="H39" s="13" t="s">
        <v>44</v>
      </c>
      <c r="I39" s="13" t="s">
        <v>45</v>
      </c>
      <c r="J39" s="13" t="s">
        <v>44</v>
      </c>
      <c r="K39" s="13" t="s">
        <v>45</v>
      </c>
      <c r="L39" s="13"/>
      <c r="M39" s="13"/>
    </row>
    <row r="40" spans="1:23" x14ac:dyDescent="0.35">
      <c r="A40" s="14" t="s">
        <v>46</v>
      </c>
      <c r="B40" s="14">
        <v>399</v>
      </c>
      <c r="C40" s="14">
        <v>576</v>
      </c>
      <c r="D40" s="14">
        <v>181</v>
      </c>
      <c r="E40" s="14">
        <v>270</v>
      </c>
      <c r="F40" s="14">
        <v>28</v>
      </c>
      <c r="G40" s="14">
        <v>34</v>
      </c>
      <c r="H40" s="14">
        <v>64</v>
      </c>
      <c r="I40" s="14">
        <v>71</v>
      </c>
      <c r="J40" s="14">
        <v>2</v>
      </c>
      <c r="K40" s="14">
        <v>5</v>
      </c>
      <c r="L40" s="15">
        <f>B40+D40+F40+H40+J40</f>
        <v>674</v>
      </c>
      <c r="M40" s="15">
        <f>C40+E40+G40+I40+K40</f>
        <v>956</v>
      </c>
    </row>
    <row r="41" spans="1:23" ht="15" customHeight="1" x14ac:dyDescent="0.35">
      <c r="A41" s="14" t="s">
        <v>47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1</v>
      </c>
      <c r="K41" s="14">
        <v>2</v>
      </c>
      <c r="L41" s="15">
        <f>B41+D41+F41+H41+J41</f>
        <v>1</v>
      </c>
      <c r="M41" s="15">
        <f>C41+E41+G41+I41+K41</f>
        <v>2</v>
      </c>
    </row>
    <row r="42" spans="1:23" x14ac:dyDescent="0.35">
      <c r="A42" s="16" t="s">
        <v>48</v>
      </c>
      <c r="B42" s="17">
        <f t="shared" ref="B42:K42" si="9">SUM(B40:B40)</f>
        <v>399</v>
      </c>
      <c r="C42" s="17">
        <f t="shared" si="9"/>
        <v>576</v>
      </c>
      <c r="D42" s="17">
        <f t="shared" si="9"/>
        <v>181</v>
      </c>
      <c r="E42" s="17">
        <f t="shared" si="9"/>
        <v>270</v>
      </c>
      <c r="F42" s="17">
        <f t="shared" si="9"/>
        <v>28</v>
      </c>
      <c r="G42" s="17">
        <f t="shared" si="9"/>
        <v>34</v>
      </c>
      <c r="H42" s="17">
        <f t="shared" si="9"/>
        <v>64</v>
      </c>
      <c r="I42" s="17">
        <f t="shared" si="9"/>
        <v>71</v>
      </c>
      <c r="J42" s="17">
        <f t="shared" si="9"/>
        <v>2</v>
      </c>
      <c r="K42" s="17">
        <f t="shared" si="9"/>
        <v>5</v>
      </c>
      <c r="L42" s="17">
        <f>SUM(L40:L41)</f>
        <v>675</v>
      </c>
      <c r="M42" s="17">
        <f>SUM(M40:M41)</f>
        <v>958</v>
      </c>
    </row>
  </sheetData>
  <mergeCells count="8">
    <mergeCell ref="A37:M37"/>
    <mergeCell ref="A38:A39"/>
    <mergeCell ref="A1:M1"/>
    <mergeCell ref="A2:A3"/>
    <mergeCell ref="B2:B3"/>
    <mergeCell ref="C2:C3"/>
    <mergeCell ref="D2:H2"/>
    <mergeCell ref="I2:M2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zoomScale="80" zoomScaleNormal="80" workbookViewId="0">
      <pane ySplit="3" topLeftCell="A22" activePane="bottomLeft" state="frozen"/>
      <selection pane="bottomLeft" activeCell="J45" sqref="J45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8" width="10.54296875" customWidth="1"/>
    <col min="9" max="9" width="7.7265625" customWidth="1"/>
    <col min="10" max="10" width="9.7265625" customWidth="1"/>
    <col min="11" max="11" width="8.81640625" customWidth="1"/>
    <col min="12" max="12" width="9.81640625" customWidth="1"/>
    <col min="13" max="13" width="9.54296875" customWidth="1"/>
    <col min="1024" max="1024" width="11.54296875" customWidth="1"/>
  </cols>
  <sheetData>
    <row r="1" spans="1:23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3" ht="15" customHeight="1" x14ac:dyDescent="0.35">
      <c r="A2" s="36" t="s">
        <v>1</v>
      </c>
      <c r="B2" s="37" t="s">
        <v>49</v>
      </c>
      <c r="C2" s="38" t="s">
        <v>50</v>
      </c>
      <c r="D2" s="39" t="s">
        <v>4</v>
      </c>
      <c r="E2" s="39"/>
      <c r="F2" s="39"/>
      <c r="G2" s="39"/>
      <c r="H2" s="39"/>
      <c r="I2" s="39" t="s">
        <v>5</v>
      </c>
      <c r="J2" s="39"/>
      <c r="K2" s="39"/>
      <c r="L2" s="39"/>
      <c r="M2" s="39"/>
    </row>
    <row r="3" spans="1:23" ht="33.15" customHeight="1" x14ac:dyDescent="0.35">
      <c r="A3" s="36"/>
      <c r="B3" s="37"/>
      <c r="C3" s="38"/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23" x14ac:dyDescent="0.35">
      <c r="A4" s="3">
        <v>3792</v>
      </c>
      <c r="B4" s="3">
        <f t="shared" ref="B4:B26" si="0">SUM(D4:H4)</f>
        <v>716</v>
      </c>
      <c r="C4" s="3">
        <f t="shared" ref="C4:C26" si="1">SUM(I4:M4)</f>
        <v>1370</v>
      </c>
      <c r="D4" s="3">
        <f t="shared" ref="D4:M4" si="2">SUM(D5:D26)</f>
        <v>429</v>
      </c>
      <c r="E4" s="3">
        <f t="shared" si="2"/>
        <v>213</v>
      </c>
      <c r="F4" s="3">
        <f t="shared" si="2"/>
        <v>26</v>
      </c>
      <c r="G4" s="3">
        <f t="shared" si="2"/>
        <v>42</v>
      </c>
      <c r="H4" s="3">
        <f t="shared" si="2"/>
        <v>6</v>
      </c>
      <c r="I4" s="3">
        <f t="shared" si="2"/>
        <v>801</v>
      </c>
      <c r="J4" s="3">
        <f t="shared" si="2"/>
        <v>445</v>
      </c>
      <c r="K4" s="3">
        <f t="shared" si="2"/>
        <v>52</v>
      </c>
      <c r="L4" s="3">
        <f t="shared" si="2"/>
        <v>61</v>
      </c>
      <c r="M4" s="3">
        <f t="shared" si="2"/>
        <v>11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5" t="s">
        <v>51</v>
      </c>
      <c r="B5" s="6">
        <f t="shared" si="0"/>
        <v>1</v>
      </c>
      <c r="C5" s="6">
        <f t="shared" si="1"/>
        <v>1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1</v>
      </c>
    </row>
    <row r="6" spans="1:23" x14ac:dyDescent="0.35">
      <c r="A6" s="5" t="s">
        <v>11</v>
      </c>
      <c r="B6" s="6">
        <f t="shared" si="0"/>
        <v>1</v>
      </c>
      <c r="C6" s="6">
        <f t="shared" si="1"/>
        <v>2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2</v>
      </c>
    </row>
    <row r="7" spans="1:23" x14ac:dyDescent="0.35">
      <c r="A7" s="5" t="s">
        <v>12</v>
      </c>
      <c r="B7" s="6">
        <f t="shared" si="0"/>
        <v>1</v>
      </c>
      <c r="C7" s="6">
        <f t="shared" si="1"/>
        <v>2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2</v>
      </c>
    </row>
    <row r="8" spans="1:23" x14ac:dyDescent="0.35">
      <c r="A8" s="5" t="s">
        <v>52</v>
      </c>
      <c r="B8" s="6">
        <f t="shared" si="0"/>
        <v>1</v>
      </c>
      <c r="C8" s="6">
        <f t="shared" si="1"/>
        <v>2</v>
      </c>
      <c r="D8" s="5">
        <v>0</v>
      </c>
      <c r="E8" s="5">
        <v>0</v>
      </c>
      <c r="F8" s="5">
        <v>0</v>
      </c>
      <c r="G8" s="5">
        <v>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2</v>
      </c>
    </row>
    <row r="9" spans="1:23" x14ac:dyDescent="0.35">
      <c r="A9" s="5" t="s">
        <v>13</v>
      </c>
      <c r="B9" s="6">
        <f t="shared" si="0"/>
        <v>38</v>
      </c>
      <c r="C9" s="6">
        <f t="shared" si="1"/>
        <v>71</v>
      </c>
      <c r="D9" s="5">
        <v>26</v>
      </c>
      <c r="E9" s="5">
        <v>11</v>
      </c>
      <c r="F9" s="5">
        <v>1</v>
      </c>
      <c r="G9" s="5">
        <v>0</v>
      </c>
      <c r="H9" s="5">
        <v>0</v>
      </c>
      <c r="I9" s="5">
        <v>50</v>
      </c>
      <c r="J9" s="5">
        <v>19</v>
      </c>
      <c r="K9" s="5">
        <v>2</v>
      </c>
      <c r="L9" s="5">
        <v>0</v>
      </c>
      <c r="M9" s="5">
        <v>0</v>
      </c>
    </row>
    <row r="10" spans="1:23" x14ac:dyDescent="0.35">
      <c r="A10" s="5" t="s">
        <v>14</v>
      </c>
      <c r="B10" s="6">
        <f t="shared" si="0"/>
        <v>2</v>
      </c>
      <c r="C10" s="6">
        <f t="shared" si="1"/>
        <v>2</v>
      </c>
      <c r="D10" s="5">
        <v>2</v>
      </c>
      <c r="E10" s="5">
        <v>0</v>
      </c>
      <c r="F10" s="5">
        <v>0</v>
      </c>
      <c r="G10" s="5">
        <v>0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23" x14ac:dyDescent="0.35">
      <c r="A11" s="5" t="s">
        <v>15</v>
      </c>
      <c r="B11" s="6">
        <f t="shared" si="0"/>
        <v>62</v>
      </c>
      <c r="C11" s="6">
        <f t="shared" si="1"/>
        <v>114</v>
      </c>
      <c r="D11" s="5">
        <v>35</v>
      </c>
      <c r="E11" s="5">
        <v>25</v>
      </c>
      <c r="F11" s="5">
        <v>0</v>
      </c>
      <c r="G11" s="5">
        <v>2</v>
      </c>
      <c r="H11" s="5">
        <v>0</v>
      </c>
      <c r="I11" s="5">
        <v>58</v>
      </c>
      <c r="J11" s="5">
        <v>54</v>
      </c>
      <c r="K11" s="5">
        <v>0</v>
      </c>
      <c r="L11" s="5">
        <v>2</v>
      </c>
      <c r="M11" s="5">
        <v>0</v>
      </c>
    </row>
    <row r="12" spans="1:23" x14ac:dyDescent="0.35">
      <c r="A12" s="5" t="s">
        <v>16</v>
      </c>
      <c r="B12" s="6">
        <f t="shared" si="0"/>
        <v>2</v>
      </c>
      <c r="C12" s="6">
        <f t="shared" si="1"/>
        <v>2</v>
      </c>
      <c r="D12" s="5">
        <v>1</v>
      </c>
      <c r="E12" s="5">
        <v>1</v>
      </c>
      <c r="F12" s="5">
        <v>0</v>
      </c>
      <c r="G12" s="5">
        <v>0</v>
      </c>
      <c r="H12" s="5">
        <v>0</v>
      </c>
      <c r="I12" s="5">
        <v>1</v>
      </c>
      <c r="J12" s="5">
        <v>1</v>
      </c>
      <c r="K12" s="5">
        <v>0</v>
      </c>
      <c r="L12" s="5">
        <v>0</v>
      </c>
      <c r="M12" s="5">
        <v>0</v>
      </c>
    </row>
    <row r="13" spans="1:23" x14ac:dyDescent="0.35">
      <c r="A13" s="5" t="s">
        <v>17</v>
      </c>
      <c r="B13" s="6">
        <f t="shared" si="0"/>
        <v>18</v>
      </c>
      <c r="C13" s="6">
        <f t="shared" si="1"/>
        <v>44</v>
      </c>
      <c r="D13" s="5">
        <v>14</v>
      </c>
      <c r="E13" s="5">
        <v>1</v>
      </c>
      <c r="F13" s="5">
        <v>1</v>
      </c>
      <c r="G13" s="5">
        <v>2</v>
      </c>
      <c r="H13" s="5">
        <v>0</v>
      </c>
      <c r="I13" s="5">
        <v>39</v>
      </c>
      <c r="J13" s="5">
        <v>1</v>
      </c>
      <c r="K13" s="5">
        <v>2</v>
      </c>
      <c r="L13" s="5">
        <v>2</v>
      </c>
      <c r="M13" s="5">
        <v>0</v>
      </c>
    </row>
    <row r="14" spans="1:23" x14ac:dyDescent="0.35">
      <c r="A14" s="5" t="s">
        <v>19</v>
      </c>
      <c r="B14" s="6">
        <f t="shared" si="0"/>
        <v>13</v>
      </c>
      <c r="C14" s="6">
        <f t="shared" si="1"/>
        <v>14</v>
      </c>
      <c r="D14" s="5">
        <v>6</v>
      </c>
      <c r="E14" s="5">
        <v>6</v>
      </c>
      <c r="F14" s="5">
        <v>0</v>
      </c>
      <c r="G14" s="5">
        <v>1</v>
      </c>
      <c r="H14" s="5">
        <v>0</v>
      </c>
      <c r="I14" s="5">
        <v>6</v>
      </c>
      <c r="J14" s="5">
        <v>7</v>
      </c>
      <c r="K14" s="5">
        <v>0</v>
      </c>
      <c r="L14" s="5">
        <v>1</v>
      </c>
      <c r="M14" s="5">
        <v>0</v>
      </c>
    </row>
    <row r="15" spans="1:23" x14ac:dyDescent="0.35">
      <c r="A15" s="5" t="s">
        <v>53</v>
      </c>
      <c r="B15" s="6">
        <f t="shared" si="0"/>
        <v>2</v>
      </c>
      <c r="C15" s="6">
        <f t="shared" si="1"/>
        <v>4</v>
      </c>
      <c r="D15" s="5">
        <v>0</v>
      </c>
      <c r="E15" s="5">
        <v>0</v>
      </c>
      <c r="F15" s="5">
        <v>0</v>
      </c>
      <c r="G15" s="5">
        <v>0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4</v>
      </c>
    </row>
    <row r="16" spans="1:23" x14ac:dyDescent="0.35">
      <c r="A16" s="5" t="s">
        <v>21</v>
      </c>
      <c r="B16" s="6">
        <f t="shared" si="0"/>
        <v>77</v>
      </c>
      <c r="C16" s="6">
        <f t="shared" si="1"/>
        <v>162</v>
      </c>
      <c r="D16" s="5">
        <v>41</v>
      </c>
      <c r="E16" s="5">
        <v>33</v>
      </c>
      <c r="F16" s="5">
        <v>3</v>
      </c>
      <c r="G16" s="5">
        <v>0</v>
      </c>
      <c r="H16" s="5">
        <v>0</v>
      </c>
      <c r="I16" s="5">
        <v>74</v>
      </c>
      <c r="J16" s="5">
        <v>80</v>
      </c>
      <c r="K16" s="5">
        <v>8</v>
      </c>
      <c r="L16" s="5">
        <v>0</v>
      </c>
      <c r="M16" s="5">
        <v>0</v>
      </c>
    </row>
    <row r="17" spans="1:23" x14ac:dyDescent="0.35">
      <c r="A17" s="5" t="s">
        <v>54</v>
      </c>
      <c r="B17" s="6">
        <f t="shared" si="0"/>
        <v>5</v>
      </c>
      <c r="C17" s="6">
        <f t="shared" si="1"/>
        <v>6</v>
      </c>
      <c r="D17" s="5">
        <v>0</v>
      </c>
      <c r="E17" s="5">
        <v>0</v>
      </c>
      <c r="F17" s="5">
        <v>0</v>
      </c>
      <c r="G17" s="5">
        <v>5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</row>
    <row r="18" spans="1:23" x14ac:dyDescent="0.35">
      <c r="A18" s="5" t="s">
        <v>22</v>
      </c>
      <c r="B18" s="6">
        <f t="shared" si="0"/>
        <v>41</v>
      </c>
      <c r="C18" s="6">
        <f t="shared" si="1"/>
        <v>85</v>
      </c>
      <c r="D18" s="5">
        <v>24</v>
      </c>
      <c r="E18" s="5">
        <v>15</v>
      </c>
      <c r="F18" s="5">
        <v>0</v>
      </c>
      <c r="G18" s="5">
        <v>2</v>
      </c>
      <c r="H18" s="5">
        <v>0</v>
      </c>
      <c r="I18" s="5">
        <v>52</v>
      </c>
      <c r="J18" s="5">
        <v>30</v>
      </c>
      <c r="K18" s="5">
        <v>0</v>
      </c>
      <c r="L18" s="5">
        <v>3</v>
      </c>
      <c r="M18" s="5">
        <v>0</v>
      </c>
    </row>
    <row r="19" spans="1:23" x14ac:dyDescent="0.35">
      <c r="A19" s="5" t="s">
        <v>23</v>
      </c>
      <c r="B19" s="6">
        <f t="shared" si="0"/>
        <v>80</v>
      </c>
      <c r="C19" s="6">
        <f t="shared" si="1"/>
        <v>174</v>
      </c>
      <c r="D19" s="5">
        <v>44</v>
      </c>
      <c r="E19" s="5">
        <v>24</v>
      </c>
      <c r="F19" s="5">
        <v>7</v>
      </c>
      <c r="G19" s="5">
        <v>5</v>
      </c>
      <c r="H19" s="5">
        <v>0</v>
      </c>
      <c r="I19" s="5">
        <v>81</v>
      </c>
      <c r="J19" s="5">
        <v>65</v>
      </c>
      <c r="K19" s="5">
        <v>15</v>
      </c>
      <c r="L19" s="5">
        <v>13</v>
      </c>
      <c r="M19" s="5">
        <v>0</v>
      </c>
    </row>
    <row r="20" spans="1:23" x14ac:dyDescent="0.35">
      <c r="A20" s="5" t="s">
        <v>24</v>
      </c>
      <c r="B20" s="6">
        <f t="shared" si="0"/>
        <v>19</v>
      </c>
      <c r="C20" s="6">
        <f t="shared" si="1"/>
        <v>27</v>
      </c>
      <c r="D20" s="5">
        <v>11</v>
      </c>
      <c r="E20" s="5">
        <v>6</v>
      </c>
      <c r="F20" s="5">
        <v>0</v>
      </c>
      <c r="G20" s="5">
        <v>2</v>
      </c>
      <c r="H20" s="5">
        <v>0</v>
      </c>
      <c r="I20" s="5">
        <v>17</v>
      </c>
      <c r="J20" s="5">
        <v>7</v>
      </c>
      <c r="K20" s="5">
        <v>0</v>
      </c>
      <c r="L20" s="5">
        <v>3</v>
      </c>
      <c r="M20" s="5">
        <v>0</v>
      </c>
    </row>
    <row r="21" spans="1:23" x14ac:dyDescent="0.35">
      <c r="A21" s="5" t="s">
        <v>25</v>
      </c>
      <c r="B21" s="6">
        <f t="shared" si="0"/>
        <v>85</v>
      </c>
      <c r="C21" s="6">
        <f t="shared" si="1"/>
        <v>149</v>
      </c>
      <c r="D21" s="5">
        <v>55</v>
      </c>
      <c r="E21" s="5">
        <v>21</v>
      </c>
      <c r="F21" s="5">
        <v>4</v>
      </c>
      <c r="G21" s="5">
        <v>5</v>
      </c>
      <c r="H21" s="5">
        <v>0</v>
      </c>
      <c r="I21" s="5">
        <v>101</v>
      </c>
      <c r="J21" s="5">
        <v>33</v>
      </c>
      <c r="K21" s="5">
        <v>6</v>
      </c>
      <c r="L21" s="5">
        <v>9</v>
      </c>
      <c r="M21" s="5">
        <v>0</v>
      </c>
    </row>
    <row r="22" spans="1:23" x14ac:dyDescent="0.35">
      <c r="A22" s="5" t="s">
        <v>26</v>
      </c>
      <c r="B22" s="6">
        <f t="shared" si="0"/>
        <v>54</v>
      </c>
      <c r="C22" s="6">
        <f t="shared" si="1"/>
        <v>100</v>
      </c>
      <c r="D22" s="5">
        <v>34</v>
      </c>
      <c r="E22" s="5">
        <v>16</v>
      </c>
      <c r="F22" s="5">
        <v>2</v>
      </c>
      <c r="G22" s="5">
        <v>2</v>
      </c>
      <c r="H22" s="5">
        <v>0</v>
      </c>
      <c r="I22" s="5">
        <v>62</v>
      </c>
      <c r="J22" s="5">
        <v>33</v>
      </c>
      <c r="K22" s="5">
        <v>2</v>
      </c>
      <c r="L22" s="5">
        <v>3</v>
      </c>
      <c r="M22" s="5">
        <v>0</v>
      </c>
    </row>
    <row r="23" spans="1:23" x14ac:dyDescent="0.35">
      <c r="A23" s="5" t="s">
        <v>27</v>
      </c>
      <c r="B23" s="6">
        <f t="shared" si="0"/>
        <v>40</v>
      </c>
      <c r="C23" s="6">
        <f t="shared" si="1"/>
        <v>73</v>
      </c>
      <c r="D23" s="5">
        <v>17</v>
      </c>
      <c r="E23" s="5">
        <v>15</v>
      </c>
      <c r="F23" s="5">
        <v>4</v>
      </c>
      <c r="G23" s="5">
        <v>4</v>
      </c>
      <c r="H23" s="5">
        <v>0</v>
      </c>
      <c r="I23" s="5">
        <v>33</v>
      </c>
      <c r="J23" s="5">
        <v>26</v>
      </c>
      <c r="K23" s="5">
        <v>9</v>
      </c>
      <c r="L23" s="5">
        <v>5</v>
      </c>
      <c r="M23" s="5">
        <v>0</v>
      </c>
    </row>
    <row r="24" spans="1:23" x14ac:dyDescent="0.35">
      <c r="A24" s="5" t="s">
        <v>28</v>
      </c>
      <c r="B24" s="6">
        <f t="shared" si="0"/>
        <v>100</v>
      </c>
      <c r="C24" s="6">
        <f t="shared" si="1"/>
        <v>200</v>
      </c>
      <c r="D24" s="5">
        <v>73</v>
      </c>
      <c r="E24" s="5">
        <v>21</v>
      </c>
      <c r="F24" s="5">
        <v>2</v>
      </c>
      <c r="G24" s="5">
        <v>4</v>
      </c>
      <c r="H24" s="5">
        <v>0</v>
      </c>
      <c r="I24" s="5">
        <v>144</v>
      </c>
      <c r="J24" s="5">
        <v>48</v>
      </c>
      <c r="K24" s="5">
        <v>3</v>
      </c>
      <c r="L24" s="5">
        <v>5</v>
      </c>
      <c r="M24" s="5">
        <v>0</v>
      </c>
    </row>
    <row r="25" spans="1:23" x14ac:dyDescent="0.35">
      <c r="A25" s="5" t="s">
        <v>29</v>
      </c>
      <c r="B25" s="6">
        <f t="shared" si="0"/>
        <v>15</v>
      </c>
      <c r="C25" s="6">
        <f t="shared" si="1"/>
        <v>30</v>
      </c>
      <c r="D25" s="5">
        <v>7</v>
      </c>
      <c r="E25" s="5">
        <v>5</v>
      </c>
      <c r="F25" s="5">
        <v>0</v>
      </c>
      <c r="G25" s="5">
        <v>3</v>
      </c>
      <c r="H25" s="5">
        <v>0</v>
      </c>
      <c r="I25" s="5">
        <v>10</v>
      </c>
      <c r="J25" s="5">
        <v>17</v>
      </c>
      <c r="K25" s="5">
        <v>0</v>
      </c>
      <c r="L25" s="5">
        <v>3</v>
      </c>
      <c r="M25" s="5">
        <v>0</v>
      </c>
    </row>
    <row r="26" spans="1:23" x14ac:dyDescent="0.35">
      <c r="A26" s="5" t="s">
        <v>30</v>
      </c>
      <c r="B26" s="6">
        <f t="shared" si="0"/>
        <v>59</v>
      </c>
      <c r="C26" s="6">
        <f t="shared" si="1"/>
        <v>106</v>
      </c>
      <c r="D26" s="5">
        <v>39</v>
      </c>
      <c r="E26" s="5">
        <v>13</v>
      </c>
      <c r="F26" s="5">
        <v>2</v>
      </c>
      <c r="G26" s="5">
        <v>5</v>
      </c>
      <c r="H26" s="5">
        <v>0</v>
      </c>
      <c r="I26" s="5">
        <v>71</v>
      </c>
      <c r="J26" s="5">
        <v>24</v>
      </c>
      <c r="K26" s="5">
        <v>5</v>
      </c>
      <c r="L26" s="5">
        <v>6</v>
      </c>
      <c r="M26" s="5">
        <v>0</v>
      </c>
    </row>
    <row r="27" spans="1:23" x14ac:dyDescent="0.35">
      <c r="A27" s="7">
        <v>3794</v>
      </c>
      <c r="B27" s="8">
        <f t="shared" ref="B27:M27" si="3">SUM(B28:B30)</f>
        <v>135</v>
      </c>
      <c r="C27" s="8">
        <f t="shared" si="3"/>
        <v>242</v>
      </c>
      <c r="D27" s="8">
        <f t="shared" si="3"/>
        <v>85</v>
      </c>
      <c r="E27" s="8">
        <f t="shared" si="3"/>
        <v>29</v>
      </c>
      <c r="F27" s="8">
        <f t="shared" si="3"/>
        <v>4</v>
      </c>
      <c r="G27" s="8">
        <f t="shared" si="3"/>
        <v>17</v>
      </c>
      <c r="H27" s="8">
        <f t="shared" si="3"/>
        <v>0</v>
      </c>
      <c r="I27" s="8">
        <f t="shared" si="3"/>
        <v>170</v>
      </c>
      <c r="J27" s="8">
        <f t="shared" si="3"/>
        <v>42</v>
      </c>
      <c r="K27" s="8">
        <f t="shared" si="3"/>
        <v>5</v>
      </c>
      <c r="L27" s="8">
        <f t="shared" si="3"/>
        <v>25</v>
      </c>
      <c r="M27" s="8">
        <f t="shared" si="3"/>
        <v>0</v>
      </c>
    </row>
    <row r="28" spans="1:23" x14ac:dyDescent="0.35">
      <c r="A28" s="5" t="s">
        <v>31</v>
      </c>
      <c r="B28" s="9">
        <f t="shared" ref="B28:B37" si="4">SUM(D28:H28)</f>
        <v>42</v>
      </c>
      <c r="C28" s="9">
        <f t="shared" ref="C28:C37" si="5">SUM(I28:M28)</f>
        <v>74</v>
      </c>
      <c r="D28" s="5">
        <v>31</v>
      </c>
      <c r="E28" s="5">
        <v>6</v>
      </c>
      <c r="F28" s="5">
        <v>3</v>
      </c>
      <c r="G28" s="5">
        <v>2</v>
      </c>
      <c r="H28" s="9">
        <v>0</v>
      </c>
      <c r="I28" s="5">
        <v>60</v>
      </c>
      <c r="J28" s="5">
        <v>7</v>
      </c>
      <c r="K28" s="5">
        <v>4</v>
      </c>
      <c r="L28" s="5">
        <v>3</v>
      </c>
      <c r="M28" s="9">
        <v>0</v>
      </c>
    </row>
    <row r="29" spans="1:23" x14ac:dyDescent="0.35">
      <c r="A29" s="5" t="s">
        <v>32</v>
      </c>
      <c r="B29" s="9">
        <f t="shared" si="4"/>
        <v>29</v>
      </c>
      <c r="C29" s="9">
        <f t="shared" si="5"/>
        <v>52</v>
      </c>
      <c r="D29" s="5">
        <v>17</v>
      </c>
      <c r="E29" s="5">
        <v>8</v>
      </c>
      <c r="F29" s="5">
        <v>1</v>
      </c>
      <c r="G29" s="5">
        <v>3</v>
      </c>
      <c r="H29" s="9">
        <v>0</v>
      </c>
      <c r="I29" s="5">
        <v>35</v>
      </c>
      <c r="J29" s="5">
        <v>13</v>
      </c>
      <c r="K29" s="5">
        <v>1</v>
      </c>
      <c r="L29" s="5">
        <v>3</v>
      </c>
      <c r="M29" s="9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35">
      <c r="A30" s="5" t="s">
        <v>33</v>
      </c>
      <c r="B30" s="9">
        <f t="shared" si="4"/>
        <v>64</v>
      </c>
      <c r="C30" s="9">
        <f t="shared" si="5"/>
        <v>116</v>
      </c>
      <c r="D30" s="5">
        <v>37</v>
      </c>
      <c r="E30" s="5">
        <v>15</v>
      </c>
      <c r="F30" s="5">
        <v>0</v>
      </c>
      <c r="G30" s="5">
        <v>12</v>
      </c>
      <c r="H30" s="9">
        <v>0</v>
      </c>
      <c r="I30" s="5">
        <v>75</v>
      </c>
      <c r="J30" s="5">
        <v>22</v>
      </c>
      <c r="K30" s="5">
        <v>0</v>
      </c>
      <c r="L30" s="5">
        <v>19</v>
      </c>
      <c r="M30" s="9">
        <v>0</v>
      </c>
    </row>
    <row r="31" spans="1:23" x14ac:dyDescent="0.35">
      <c r="A31" s="7">
        <v>3795</v>
      </c>
      <c r="B31" s="8">
        <f t="shared" si="4"/>
        <v>84</v>
      </c>
      <c r="C31" s="8">
        <f t="shared" si="5"/>
        <v>135</v>
      </c>
      <c r="D31" s="8">
        <f t="shared" ref="D31:M31" si="6">SUM(D32:D34)</f>
        <v>35</v>
      </c>
      <c r="E31" s="8">
        <f t="shared" si="6"/>
        <v>13</v>
      </c>
      <c r="F31" s="8">
        <f t="shared" si="6"/>
        <v>12</v>
      </c>
      <c r="G31" s="8">
        <f t="shared" si="6"/>
        <v>24</v>
      </c>
      <c r="H31" s="8">
        <f t="shared" si="6"/>
        <v>0</v>
      </c>
      <c r="I31" s="8">
        <f t="shared" si="6"/>
        <v>66</v>
      </c>
      <c r="J31" s="8">
        <f t="shared" si="6"/>
        <v>21</v>
      </c>
      <c r="K31" s="8">
        <f t="shared" si="6"/>
        <v>16</v>
      </c>
      <c r="L31" s="8">
        <f t="shared" si="6"/>
        <v>32</v>
      </c>
      <c r="M31" s="8">
        <f t="shared" si="6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35">
      <c r="A32" s="5" t="s">
        <v>34</v>
      </c>
      <c r="B32" s="9">
        <f t="shared" si="4"/>
        <v>26</v>
      </c>
      <c r="C32" s="9">
        <f t="shared" si="5"/>
        <v>49</v>
      </c>
      <c r="D32" s="5">
        <v>11</v>
      </c>
      <c r="E32" s="5">
        <v>3</v>
      </c>
      <c r="F32" s="5">
        <v>4</v>
      </c>
      <c r="G32" s="5">
        <v>8</v>
      </c>
      <c r="H32" s="9">
        <v>0</v>
      </c>
      <c r="I32" s="5">
        <v>24</v>
      </c>
      <c r="J32" s="5">
        <v>7</v>
      </c>
      <c r="K32" s="5">
        <v>6</v>
      </c>
      <c r="L32" s="5">
        <v>12</v>
      </c>
      <c r="M32" s="9">
        <v>0</v>
      </c>
    </row>
    <row r="33" spans="1:23" x14ac:dyDescent="0.35">
      <c r="A33" s="5" t="s">
        <v>35</v>
      </c>
      <c r="B33" s="9">
        <f t="shared" si="4"/>
        <v>34</v>
      </c>
      <c r="C33" s="9">
        <f t="shared" si="5"/>
        <v>44</v>
      </c>
      <c r="D33" s="5">
        <v>0</v>
      </c>
      <c r="E33" s="5">
        <v>10</v>
      </c>
      <c r="F33" s="5">
        <v>8</v>
      </c>
      <c r="G33" s="5">
        <v>16</v>
      </c>
      <c r="H33" s="9">
        <v>0</v>
      </c>
      <c r="I33" s="5">
        <v>0</v>
      </c>
      <c r="J33" s="5">
        <v>14</v>
      </c>
      <c r="K33" s="5">
        <v>10</v>
      </c>
      <c r="L33" s="5">
        <v>20</v>
      </c>
      <c r="M33" s="9">
        <v>0</v>
      </c>
    </row>
    <row r="34" spans="1:23" x14ac:dyDescent="0.35">
      <c r="A34" s="5" t="s">
        <v>55</v>
      </c>
      <c r="B34" s="9">
        <f t="shared" si="4"/>
        <v>24</v>
      </c>
      <c r="C34" s="9">
        <f t="shared" si="5"/>
        <v>42</v>
      </c>
      <c r="D34" s="5">
        <v>24</v>
      </c>
      <c r="E34" s="5">
        <v>0</v>
      </c>
      <c r="F34" s="5">
        <v>0</v>
      </c>
      <c r="G34" s="5">
        <v>0</v>
      </c>
      <c r="H34" s="9">
        <v>0</v>
      </c>
      <c r="I34" s="5">
        <v>42</v>
      </c>
      <c r="J34" s="5">
        <v>0</v>
      </c>
      <c r="K34" s="5">
        <v>0</v>
      </c>
      <c r="L34" s="5">
        <v>0</v>
      </c>
      <c r="M34" s="9">
        <v>0</v>
      </c>
    </row>
    <row r="35" spans="1:23" x14ac:dyDescent="0.35">
      <c r="A35" s="18">
        <v>3791</v>
      </c>
      <c r="B35" s="8">
        <f t="shared" si="4"/>
        <v>85</v>
      </c>
      <c r="C35" s="8">
        <f t="shared" si="5"/>
        <v>130</v>
      </c>
      <c r="D35" s="8">
        <f t="shared" ref="D35:M35" si="7">SUM(D36:D37)</f>
        <v>41</v>
      </c>
      <c r="E35" s="8">
        <f t="shared" si="7"/>
        <v>31</v>
      </c>
      <c r="F35" s="8">
        <f t="shared" si="7"/>
        <v>5</v>
      </c>
      <c r="G35" s="8">
        <f t="shared" si="7"/>
        <v>8</v>
      </c>
      <c r="H35" s="8">
        <f t="shared" si="7"/>
        <v>0</v>
      </c>
      <c r="I35" s="8">
        <f t="shared" si="7"/>
        <v>59</v>
      </c>
      <c r="J35" s="8">
        <f t="shared" si="7"/>
        <v>56</v>
      </c>
      <c r="K35" s="8">
        <f t="shared" si="7"/>
        <v>6</v>
      </c>
      <c r="L35" s="8">
        <f t="shared" si="7"/>
        <v>9</v>
      </c>
      <c r="M35" s="8">
        <f t="shared" si="7"/>
        <v>0</v>
      </c>
    </row>
    <row r="36" spans="1:23" x14ac:dyDescent="0.35">
      <c r="A36" s="5" t="s">
        <v>36</v>
      </c>
      <c r="B36" s="6">
        <f t="shared" si="4"/>
        <v>47</v>
      </c>
      <c r="C36" s="9">
        <f t="shared" si="5"/>
        <v>71</v>
      </c>
      <c r="D36" s="5">
        <v>24</v>
      </c>
      <c r="E36" s="5">
        <v>18</v>
      </c>
      <c r="F36" s="5">
        <v>2</v>
      </c>
      <c r="G36" s="5">
        <v>3</v>
      </c>
      <c r="H36" s="9">
        <v>0</v>
      </c>
      <c r="I36" s="5">
        <v>33</v>
      </c>
      <c r="J36" s="5">
        <v>32</v>
      </c>
      <c r="K36" s="5">
        <v>3</v>
      </c>
      <c r="L36" s="5">
        <v>3</v>
      </c>
      <c r="M36" s="9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35">
      <c r="A37" s="5" t="s">
        <v>37</v>
      </c>
      <c r="B37" s="6">
        <f t="shared" si="4"/>
        <v>38</v>
      </c>
      <c r="C37" s="9">
        <f t="shared" si="5"/>
        <v>59</v>
      </c>
      <c r="D37" s="5">
        <v>17</v>
      </c>
      <c r="E37" s="5">
        <v>13</v>
      </c>
      <c r="F37" s="5">
        <v>3</v>
      </c>
      <c r="G37" s="5">
        <v>5</v>
      </c>
      <c r="H37" s="9">
        <v>0</v>
      </c>
      <c r="I37" s="5">
        <v>26</v>
      </c>
      <c r="J37" s="5">
        <v>24</v>
      </c>
      <c r="K37" s="5">
        <v>3</v>
      </c>
      <c r="L37" s="5">
        <v>6</v>
      </c>
      <c r="M37" s="9">
        <v>0</v>
      </c>
    </row>
    <row r="38" spans="1:23" x14ac:dyDescent="0.35">
      <c r="A38" s="11" t="s">
        <v>38</v>
      </c>
      <c r="B38" s="12">
        <f t="shared" ref="B38:M38" si="8">B4+B27+B31+B35</f>
        <v>1020</v>
      </c>
      <c r="C38" s="12">
        <f t="shared" si="8"/>
        <v>1877</v>
      </c>
      <c r="D38" s="12">
        <f t="shared" si="8"/>
        <v>590</v>
      </c>
      <c r="E38" s="12">
        <f t="shared" si="8"/>
        <v>286</v>
      </c>
      <c r="F38" s="12">
        <f t="shared" si="8"/>
        <v>47</v>
      </c>
      <c r="G38" s="12">
        <f t="shared" si="8"/>
        <v>91</v>
      </c>
      <c r="H38" s="12">
        <f t="shared" si="8"/>
        <v>6</v>
      </c>
      <c r="I38" s="12">
        <f t="shared" si="8"/>
        <v>1096</v>
      </c>
      <c r="J38" s="12">
        <f t="shared" si="8"/>
        <v>564</v>
      </c>
      <c r="K38" s="12">
        <f t="shared" si="8"/>
        <v>79</v>
      </c>
      <c r="L38" s="12">
        <f t="shared" si="8"/>
        <v>127</v>
      </c>
      <c r="M38" s="12">
        <f t="shared" si="8"/>
        <v>11</v>
      </c>
    </row>
    <row r="40" spans="1:23" ht="20" x14ac:dyDescent="0.35">
      <c r="A40" s="33" t="s">
        <v>39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1:23" ht="15" customHeight="1" x14ac:dyDescent="0.35">
      <c r="A41" s="34" t="s">
        <v>40</v>
      </c>
      <c r="B41" s="40" t="s">
        <v>6</v>
      </c>
      <c r="C41" s="40"/>
      <c r="D41" s="40" t="s">
        <v>7</v>
      </c>
      <c r="E41" s="40"/>
      <c r="F41" s="40" t="s">
        <v>8</v>
      </c>
      <c r="G41" s="40"/>
      <c r="H41" s="40" t="s">
        <v>9</v>
      </c>
      <c r="I41" s="40"/>
      <c r="J41" s="40" t="s">
        <v>41</v>
      </c>
      <c r="K41" s="40"/>
      <c r="L41" s="40" t="s">
        <v>56</v>
      </c>
      <c r="M41" s="40"/>
      <c r="N41" s="40" t="s">
        <v>42</v>
      </c>
      <c r="O41" s="40" t="s">
        <v>43</v>
      </c>
    </row>
    <row r="42" spans="1:23" x14ac:dyDescent="0.35">
      <c r="A42" s="34"/>
      <c r="B42" s="13" t="s">
        <v>44</v>
      </c>
      <c r="C42" s="13" t="s">
        <v>45</v>
      </c>
      <c r="D42" s="13" t="s">
        <v>44</v>
      </c>
      <c r="E42" s="13" t="s">
        <v>45</v>
      </c>
      <c r="F42" s="13" t="s">
        <v>44</v>
      </c>
      <c r="G42" s="13" t="s">
        <v>45</v>
      </c>
      <c r="H42" s="13" t="s">
        <v>44</v>
      </c>
      <c r="I42" s="13" t="s">
        <v>45</v>
      </c>
      <c r="J42" s="13" t="s">
        <v>44</v>
      </c>
      <c r="K42" s="13" t="s">
        <v>45</v>
      </c>
      <c r="L42" s="13" t="s">
        <v>44</v>
      </c>
      <c r="M42" s="13" t="s">
        <v>45</v>
      </c>
      <c r="N42" s="40"/>
      <c r="O42" s="40"/>
    </row>
    <row r="43" spans="1:23" x14ac:dyDescent="0.35">
      <c r="A43" s="14" t="s">
        <v>46</v>
      </c>
      <c r="B43" s="14">
        <v>535</v>
      </c>
      <c r="C43" s="14">
        <v>1109</v>
      </c>
      <c r="D43" s="14">
        <v>239</v>
      </c>
      <c r="E43" s="14">
        <v>538</v>
      </c>
      <c r="F43" s="14">
        <v>44</v>
      </c>
      <c r="G43" s="14">
        <v>78</v>
      </c>
      <c r="H43" s="14">
        <v>93</v>
      </c>
      <c r="I43" s="14">
        <v>140</v>
      </c>
      <c r="J43" s="14">
        <v>5</v>
      </c>
      <c r="K43" s="14">
        <v>9</v>
      </c>
      <c r="L43" s="14">
        <v>1</v>
      </c>
      <c r="M43" s="14">
        <v>1</v>
      </c>
      <c r="N43" s="15">
        <f>SUM(B43+D43+F43+H43+J43+L43)</f>
        <v>917</v>
      </c>
      <c r="O43" s="15">
        <f>SUM(C43+E43+G43+I43+K43+M43)</f>
        <v>1875</v>
      </c>
    </row>
    <row r="44" spans="1:23" x14ac:dyDescent="0.35">
      <c r="A44" s="14" t="s">
        <v>47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/>
      <c r="J44" s="14">
        <v>1</v>
      </c>
      <c r="K44" s="14">
        <v>2</v>
      </c>
      <c r="L44" s="14">
        <v>0</v>
      </c>
      <c r="M44" s="14">
        <v>0</v>
      </c>
      <c r="N44" s="15">
        <f>SUM(B44+D44+F44+H44+J44+L44)</f>
        <v>1</v>
      </c>
      <c r="O44" s="15">
        <f>SUM(C44+E44+G44+I44+K44+M44)</f>
        <v>2</v>
      </c>
    </row>
    <row r="45" spans="1:23" x14ac:dyDescent="0.35">
      <c r="A45" s="16" t="s">
        <v>48</v>
      </c>
      <c r="B45" s="17">
        <f t="shared" ref="B45:M45" si="9">SUM(B43:B43)</f>
        <v>535</v>
      </c>
      <c r="C45" s="17">
        <f t="shared" si="9"/>
        <v>1109</v>
      </c>
      <c r="D45" s="17">
        <f t="shared" si="9"/>
        <v>239</v>
      </c>
      <c r="E45" s="17">
        <f t="shared" si="9"/>
        <v>538</v>
      </c>
      <c r="F45" s="17">
        <f t="shared" si="9"/>
        <v>44</v>
      </c>
      <c r="G45" s="17">
        <f t="shared" si="9"/>
        <v>78</v>
      </c>
      <c r="H45" s="17">
        <f t="shared" si="9"/>
        <v>93</v>
      </c>
      <c r="I45" s="17">
        <f t="shared" si="9"/>
        <v>140</v>
      </c>
      <c r="J45" s="17">
        <f t="shared" si="9"/>
        <v>5</v>
      </c>
      <c r="K45" s="17">
        <f t="shared" si="9"/>
        <v>9</v>
      </c>
      <c r="L45" s="17">
        <f t="shared" si="9"/>
        <v>1</v>
      </c>
      <c r="M45" s="17">
        <f t="shared" si="9"/>
        <v>1</v>
      </c>
      <c r="N45" s="17">
        <f>SUM(N43:N44)</f>
        <v>918</v>
      </c>
      <c r="O45" s="17">
        <f>SUM(O43:O44)</f>
        <v>1877</v>
      </c>
    </row>
  </sheetData>
  <mergeCells count="16">
    <mergeCell ref="A1:M1"/>
    <mergeCell ref="A2:A3"/>
    <mergeCell ref="B2:B3"/>
    <mergeCell ref="C2:C3"/>
    <mergeCell ref="D2:H2"/>
    <mergeCell ref="I2:M2"/>
    <mergeCell ref="A40:O40"/>
    <mergeCell ref="A41:A42"/>
    <mergeCell ref="B41:C41"/>
    <mergeCell ref="D41:E41"/>
    <mergeCell ref="F41:G41"/>
    <mergeCell ref="H41:I41"/>
    <mergeCell ref="J41:K41"/>
    <mergeCell ref="L41:M41"/>
    <mergeCell ref="N41:N42"/>
    <mergeCell ref="O41:O42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opLeftCell="D1" zoomScale="80" zoomScaleNormal="80" workbookViewId="0">
      <pane ySplit="3" topLeftCell="A28" activePane="bottomLeft" state="frozen"/>
      <selection activeCell="D1" sqref="D1"/>
      <selection pane="bottomLeft" activeCell="L45" sqref="L45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8" width="10.54296875" customWidth="1"/>
    <col min="9" max="9" width="7.7265625" customWidth="1"/>
    <col min="10" max="10" width="9.7265625" customWidth="1"/>
    <col min="11" max="11" width="8.81640625" customWidth="1"/>
    <col min="12" max="12" width="9.81640625" customWidth="1"/>
    <col min="13" max="13" width="9.54296875" customWidth="1"/>
    <col min="1024" max="1024" width="11.54296875" customWidth="1"/>
  </cols>
  <sheetData>
    <row r="1" spans="1:23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3" ht="15" customHeight="1" x14ac:dyDescent="0.35">
      <c r="A2" s="36" t="s">
        <v>1</v>
      </c>
      <c r="B2" s="37" t="s">
        <v>57</v>
      </c>
      <c r="C2" s="38" t="s">
        <v>58</v>
      </c>
      <c r="D2" s="39" t="s">
        <v>4</v>
      </c>
      <c r="E2" s="39"/>
      <c r="F2" s="39"/>
      <c r="G2" s="39"/>
      <c r="H2" s="39"/>
      <c r="I2" s="39" t="s">
        <v>5</v>
      </c>
      <c r="J2" s="39"/>
      <c r="K2" s="39"/>
      <c r="L2" s="39"/>
      <c r="M2" s="39"/>
    </row>
    <row r="3" spans="1:23" ht="33.15" customHeight="1" x14ac:dyDescent="0.35">
      <c r="A3" s="36"/>
      <c r="B3" s="37"/>
      <c r="C3" s="38"/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23" x14ac:dyDescent="0.35">
      <c r="A4" s="3">
        <v>3792</v>
      </c>
      <c r="B4" s="3">
        <f t="shared" ref="B4:B24" si="0">SUM(D4:H4)</f>
        <v>744</v>
      </c>
      <c r="C4" s="3">
        <f t="shared" ref="C4:C24" si="1">SUM(I4:M4)</f>
        <v>1430</v>
      </c>
      <c r="D4" s="3">
        <f t="shared" ref="D4:M4" si="2">SUM(D5:D24)</f>
        <v>440</v>
      </c>
      <c r="E4" s="3">
        <f t="shared" si="2"/>
        <v>224</v>
      </c>
      <c r="F4" s="3">
        <f t="shared" si="2"/>
        <v>31</v>
      </c>
      <c r="G4" s="3">
        <f t="shared" si="2"/>
        <v>44</v>
      </c>
      <c r="H4" s="3">
        <f t="shared" si="2"/>
        <v>5</v>
      </c>
      <c r="I4" s="3">
        <f t="shared" si="2"/>
        <v>820</v>
      </c>
      <c r="J4" s="3">
        <f t="shared" si="2"/>
        <v>477</v>
      </c>
      <c r="K4" s="3">
        <f t="shared" si="2"/>
        <v>57</v>
      </c>
      <c r="L4" s="3">
        <f t="shared" si="2"/>
        <v>65</v>
      </c>
      <c r="M4" s="3">
        <f t="shared" si="2"/>
        <v>11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5" t="s">
        <v>51</v>
      </c>
      <c r="B5" s="6">
        <f t="shared" si="0"/>
        <v>3</v>
      </c>
      <c r="C5" s="6">
        <f t="shared" si="1"/>
        <v>7</v>
      </c>
      <c r="D5" s="5">
        <v>0</v>
      </c>
      <c r="E5" s="5">
        <v>0</v>
      </c>
      <c r="F5" s="5">
        <v>0</v>
      </c>
      <c r="G5" s="5">
        <v>1</v>
      </c>
      <c r="H5" s="5">
        <v>2</v>
      </c>
      <c r="I5" s="5">
        <v>0</v>
      </c>
      <c r="J5" s="5">
        <v>0</v>
      </c>
      <c r="K5" s="5">
        <v>0</v>
      </c>
      <c r="L5" s="5">
        <v>1</v>
      </c>
      <c r="M5" s="5">
        <v>6</v>
      </c>
    </row>
    <row r="6" spans="1:23" x14ac:dyDescent="0.35">
      <c r="A6" s="5" t="s">
        <v>13</v>
      </c>
      <c r="B6" s="6">
        <f t="shared" si="0"/>
        <v>37</v>
      </c>
      <c r="C6" s="6">
        <f t="shared" si="1"/>
        <v>77</v>
      </c>
      <c r="D6" s="5">
        <v>17</v>
      </c>
      <c r="E6" s="5">
        <v>17</v>
      </c>
      <c r="F6" s="5">
        <v>1</v>
      </c>
      <c r="G6" s="5">
        <v>2</v>
      </c>
      <c r="H6" s="5">
        <v>0</v>
      </c>
      <c r="I6" s="5">
        <v>46</v>
      </c>
      <c r="J6" s="5">
        <v>27</v>
      </c>
      <c r="K6" s="5">
        <v>2</v>
      </c>
      <c r="L6" s="5">
        <v>2</v>
      </c>
      <c r="M6" s="5">
        <v>0</v>
      </c>
    </row>
    <row r="7" spans="1:23" x14ac:dyDescent="0.35">
      <c r="A7" s="5" t="s">
        <v>14</v>
      </c>
      <c r="B7" s="6">
        <f t="shared" si="0"/>
        <v>2</v>
      </c>
      <c r="C7" s="6">
        <f t="shared" si="1"/>
        <v>3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3</v>
      </c>
      <c r="J7" s="5">
        <v>0</v>
      </c>
      <c r="K7" s="5">
        <v>0</v>
      </c>
      <c r="L7" s="5">
        <v>0</v>
      </c>
      <c r="M7" s="5">
        <v>0</v>
      </c>
    </row>
    <row r="8" spans="1:23" x14ac:dyDescent="0.35">
      <c r="A8" s="5" t="s">
        <v>15</v>
      </c>
      <c r="B8" s="6">
        <f t="shared" si="0"/>
        <v>63</v>
      </c>
      <c r="C8" s="6">
        <f t="shared" si="1"/>
        <v>122</v>
      </c>
      <c r="D8" s="5">
        <v>34</v>
      </c>
      <c r="E8" s="5">
        <v>25</v>
      </c>
      <c r="F8" s="5">
        <v>1</v>
      </c>
      <c r="G8" s="5">
        <v>3</v>
      </c>
      <c r="H8" s="5">
        <v>0</v>
      </c>
      <c r="I8" s="5">
        <v>62</v>
      </c>
      <c r="J8" s="5">
        <v>56</v>
      </c>
      <c r="K8" s="5">
        <v>1</v>
      </c>
      <c r="L8" s="5">
        <v>3</v>
      </c>
      <c r="M8" s="5">
        <v>0</v>
      </c>
    </row>
    <row r="9" spans="1:23" x14ac:dyDescent="0.35">
      <c r="A9" s="5" t="s">
        <v>16</v>
      </c>
      <c r="B9" s="6">
        <f t="shared" si="0"/>
        <v>2</v>
      </c>
      <c r="C9" s="6">
        <f t="shared" si="1"/>
        <v>3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2</v>
      </c>
      <c r="J9" s="5">
        <v>1</v>
      </c>
      <c r="K9" s="5">
        <v>0</v>
      </c>
      <c r="L9" s="5">
        <v>0</v>
      </c>
      <c r="M9" s="5">
        <v>0</v>
      </c>
    </row>
    <row r="10" spans="1:23" x14ac:dyDescent="0.35">
      <c r="A10" s="5" t="s">
        <v>17</v>
      </c>
      <c r="B10" s="6">
        <f t="shared" si="0"/>
        <v>17</v>
      </c>
      <c r="C10" s="6">
        <f t="shared" si="1"/>
        <v>46</v>
      </c>
      <c r="D10" s="5">
        <v>14</v>
      </c>
      <c r="E10" s="5">
        <v>1</v>
      </c>
      <c r="F10" s="5">
        <v>1</v>
      </c>
      <c r="G10" s="5">
        <v>1</v>
      </c>
      <c r="H10" s="5">
        <v>0</v>
      </c>
      <c r="I10" s="5">
        <v>41</v>
      </c>
      <c r="J10" s="5">
        <v>2</v>
      </c>
      <c r="K10" s="5">
        <v>2</v>
      </c>
      <c r="L10" s="5">
        <v>1</v>
      </c>
      <c r="M10" s="5">
        <v>0</v>
      </c>
    </row>
    <row r="11" spans="1:23" x14ac:dyDescent="0.35">
      <c r="A11" s="5" t="s">
        <v>19</v>
      </c>
      <c r="B11" s="6">
        <f t="shared" si="0"/>
        <v>12</v>
      </c>
      <c r="C11" s="6">
        <f t="shared" si="1"/>
        <v>13</v>
      </c>
      <c r="D11" s="5">
        <v>4</v>
      </c>
      <c r="E11" s="5">
        <v>6</v>
      </c>
      <c r="F11" s="5">
        <v>0</v>
      </c>
      <c r="G11" s="5">
        <v>2</v>
      </c>
      <c r="H11" s="5">
        <v>0</v>
      </c>
      <c r="I11" s="5">
        <v>4</v>
      </c>
      <c r="J11" s="5">
        <v>7</v>
      </c>
      <c r="K11" s="5">
        <v>0</v>
      </c>
      <c r="L11" s="5">
        <v>2</v>
      </c>
      <c r="M11" s="5">
        <v>0</v>
      </c>
    </row>
    <row r="12" spans="1:23" x14ac:dyDescent="0.35">
      <c r="A12" s="5" t="s">
        <v>59</v>
      </c>
      <c r="B12" s="6">
        <f t="shared" si="0"/>
        <v>1</v>
      </c>
      <c r="C12" s="6">
        <f t="shared" si="1"/>
        <v>1</v>
      </c>
      <c r="D12" s="5">
        <v>0</v>
      </c>
      <c r="E12" s="5">
        <v>0</v>
      </c>
      <c r="F12" s="5">
        <v>0</v>
      </c>
      <c r="G12" s="5">
        <v>0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</row>
    <row r="13" spans="1:23" x14ac:dyDescent="0.35">
      <c r="A13" s="5" t="s">
        <v>53</v>
      </c>
      <c r="B13" s="6">
        <f t="shared" si="0"/>
        <v>1</v>
      </c>
      <c r="C13" s="6">
        <f t="shared" si="1"/>
        <v>2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2</v>
      </c>
    </row>
    <row r="14" spans="1:23" x14ac:dyDescent="0.35">
      <c r="A14" s="5" t="s">
        <v>21</v>
      </c>
      <c r="B14" s="6">
        <f t="shared" si="0"/>
        <v>96</v>
      </c>
      <c r="C14" s="6">
        <f t="shared" si="1"/>
        <v>198</v>
      </c>
      <c r="D14" s="5">
        <v>48</v>
      </c>
      <c r="E14" s="5">
        <v>37</v>
      </c>
      <c r="F14" s="5">
        <v>6</v>
      </c>
      <c r="G14" s="5">
        <v>5</v>
      </c>
      <c r="H14" s="5">
        <v>0</v>
      </c>
      <c r="I14" s="5">
        <v>95</v>
      </c>
      <c r="J14" s="5">
        <v>81</v>
      </c>
      <c r="K14" s="5">
        <v>14</v>
      </c>
      <c r="L14" s="5">
        <v>8</v>
      </c>
      <c r="M14" s="5">
        <v>0</v>
      </c>
    </row>
    <row r="15" spans="1:23" x14ac:dyDescent="0.35">
      <c r="A15" s="5" t="s">
        <v>22</v>
      </c>
      <c r="B15" s="6">
        <f t="shared" si="0"/>
        <v>41</v>
      </c>
      <c r="C15" s="6">
        <f t="shared" si="1"/>
        <v>74</v>
      </c>
      <c r="D15" s="5">
        <v>26</v>
      </c>
      <c r="E15" s="5">
        <v>13</v>
      </c>
      <c r="F15" s="5">
        <v>1</v>
      </c>
      <c r="G15" s="5">
        <v>1</v>
      </c>
      <c r="H15" s="5">
        <v>0</v>
      </c>
      <c r="I15" s="5">
        <v>47</v>
      </c>
      <c r="J15" s="5">
        <v>24</v>
      </c>
      <c r="K15" s="5">
        <v>1</v>
      </c>
      <c r="L15" s="5">
        <v>2</v>
      </c>
      <c r="M15" s="5">
        <v>0</v>
      </c>
    </row>
    <row r="16" spans="1:23" x14ac:dyDescent="0.35">
      <c r="A16" s="5" t="s">
        <v>23</v>
      </c>
      <c r="B16" s="6">
        <f t="shared" si="0"/>
        <v>99</v>
      </c>
      <c r="C16" s="6">
        <f t="shared" si="1"/>
        <v>200</v>
      </c>
      <c r="D16" s="5">
        <v>62</v>
      </c>
      <c r="E16" s="5">
        <v>25</v>
      </c>
      <c r="F16" s="5">
        <v>6</v>
      </c>
      <c r="G16" s="5">
        <v>6</v>
      </c>
      <c r="H16" s="5">
        <v>0</v>
      </c>
      <c r="I16" s="5">
        <v>108</v>
      </c>
      <c r="J16" s="5">
        <v>68</v>
      </c>
      <c r="K16" s="5">
        <v>11</v>
      </c>
      <c r="L16" s="5">
        <v>13</v>
      </c>
      <c r="M16" s="5">
        <v>0</v>
      </c>
    </row>
    <row r="17" spans="1:23" x14ac:dyDescent="0.35">
      <c r="A17" s="5" t="s">
        <v>24</v>
      </c>
      <c r="B17" s="6">
        <f t="shared" si="0"/>
        <v>18</v>
      </c>
      <c r="C17" s="6">
        <f t="shared" si="1"/>
        <v>23</v>
      </c>
      <c r="D17" s="5">
        <v>9</v>
      </c>
      <c r="E17" s="5">
        <v>7</v>
      </c>
      <c r="F17" s="5">
        <v>1</v>
      </c>
      <c r="G17" s="5">
        <v>1</v>
      </c>
      <c r="H17" s="5">
        <v>0</v>
      </c>
      <c r="I17" s="5">
        <v>12</v>
      </c>
      <c r="J17" s="5">
        <v>9</v>
      </c>
      <c r="K17" s="5">
        <v>1</v>
      </c>
      <c r="L17" s="5">
        <v>1</v>
      </c>
      <c r="M17" s="5">
        <v>0</v>
      </c>
    </row>
    <row r="18" spans="1:23" x14ac:dyDescent="0.35">
      <c r="A18" s="5" t="s">
        <v>25</v>
      </c>
      <c r="B18" s="6">
        <f t="shared" si="0"/>
        <v>78</v>
      </c>
      <c r="C18" s="6">
        <f t="shared" si="1"/>
        <v>148</v>
      </c>
      <c r="D18" s="5">
        <v>44</v>
      </c>
      <c r="E18" s="5">
        <v>22</v>
      </c>
      <c r="F18" s="5">
        <v>5</v>
      </c>
      <c r="G18" s="5">
        <v>7</v>
      </c>
      <c r="H18" s="5">
        <v>0</v>
      </c>
      <c r="I18" s="5">
        <v>84</v>
      </c>
      <c r="J18" s="5">
        <v>45</v>
      </c>
      <c r="K18" s="5">
        <v>8</v>
      </c>
      <c r="L18" s="5">
        <v>11</v>
      </c>
      <c r="M18" s="5">
        <v>0</v>
      </c>
    </row>
    <row r="19" spans="1:23" x14ac:dyDescent="0.35">
      <c r="A19" s="5" t="s">
        <v>26</v>
      </c>
      <c r="B19" s="6">
        <f t="shared" si="0"/>
        <v>51</v>
      </c>
      <c r="C19" s="6">
        <f t="shared" si="1"/>
        <v>87</v>
      </c>
      <c r="D19" s="5">
        <v>29</v>
      </c>
      <c r="E19" s="5">
        <v>19</v>
      </c>
      <c r="F19" s="5">
        <v>2</v>
      </c>
      <c r="G19" s="5">
        <v>1</v>
      </c>
      <c r="H19" s="5">
        <v>0</v>
      </c>
      <c r="I19" s="5">
        <v>42</v>
      </c>
      <c r="J19" s="5">
        <v>41</v>
      </c>
      <c r="K19" s="5">
        <v>3</v>
      </c>
      <c r="L19" s="5">
        <v>1</v>
      </c>
      <c r="M19" s="5">
        <v>0</v>
      </c>
    </row>
    <row r="20" spans="1:23" x14ac:dyDescent="0.35">
      <c r="A20" s="5" t="s">
        <v>27</v>
      </c>
      <c r="B20" s="6">
        <f t="shared" si="0"/>
        <v>34</v>
      </c>
      <c r="C20" s="6">
        <f t="shared" si="1"/>
        <v>61</v>
      </c>
      <c r="D20" s="5">
        <v>18</v>
      </c>
      <c r="E20" s="5">
        <v>11</v>
      </c>
      <c r="F20" s="5">
        <v>4</v>
      </c>
      <c r="G20" s="5">
        <v>1</v>
      </c>
      <c r="H20" s="5">
        <v>0</v>
      </c>
      <c r="I20" s="5">
        <v>33</v>
      </c>
      <c r="J20" s="5">
        <v>18</v>
      </c>
      <c r="K20" s="5">
        <v>8</v>
      </c>
      <c r="L20" s="5">
        <v>2</v>
      </c>
      <c r="M20" s="5">
        <v>0</v>
      </c>
    </row>
    <row r="21" spans="1:23" x14ac:dyDescent="0.35">
      <c r="A21" s="5" t="s">
        <v>28</v>
      </c>
      <c r="B21" s="6">
        <f t="shared" si="0"/>
        <v>106</v>
      </c>
      <c r="C21" s="6">
        <f t="shared" si="1"/>
        <v>221</v>
      </c>
      <c r="D21" s="5">
        <v>79</v>
      </c>
      <c r="E21" s="5">
        <v>21</v>
      </c>
      <c r="F21" s="5">
        <v>1</v>
      </c>
      <c r="G21" s="5">
        <v>5</v>
      </c>
      <c r="H21" s="5">
        <v>0</v>
      </c>
      <c r="I21" s="5">
        <v>153</v>
      </c>
      <c r="J21" s="5">
        <v>60</v>
      </c>
      <c r="K21" s="5">
        <v>2</v>
      </c>
      <c r="L21" s="5">
        <v>6</v>
      </c>
      <c r="M21" s="5">
        <v>0</v>
      </c>
    </row>
    <row r="22" spans="1:23" x14ac:dyDescent="0.35">
      <c r="A22" s="5" t="s">
        <v>29</v>
      </c>
      <c r="B22" s="6">
        <f t="shared" si="0"/>
        <v>18</v>
      </c>
      <c r="C22" s="6">
        <f t="shared" si="1"/>
        <v>33</v>
      </c>
      <c r="D22" s="5">
        <v>9</v>
      </c>
      <c r="E22" s="5">
        <v>6</v>
      </c>
      <c r="F22" s="5">
        <v>0</v>
      </c>
      <c r="G22" s="5">
        <v>3</v>
      </c>
      <c r="H22" s="5">
        <v>0</v>
      </c>
      <c r="I22" s="5">
        <v>14</v>
      </c>
      <c r="J22" s="5">
        <v>15</v>
      </c>
      <c r="K22" s="5">
        <v>0</v>
      </c>
      <c r="L22" s="5">
        <v>4</v>
      </c>
      <c r="M22" s="5">
        <v>0</v>
      </c>
    </row>
    <row r="23" spans="1:23" x14ac:dyDescent="0.35">
      <c r="A23" s="5" t="s">
        <v>30</v>
      </c>
      <c r="B23" s="6">
        <f t="shared" si="0"/>
        <v>64</v>
      </c>
      <c r="C23" s="6">
        <f t="shared" si="1"/>
        <v>109</v>
      </c>
      <c r="D23" s="5">
        <v>44</v>
      </c>
      <c r="E23" s="5">
        <v>13</v>
      </c>
      <c r="F23" s="5">
        <v>2</v>
      </c>
      <c r="G23" s="5">
        <v>5</v>
      </c>
      <c r="H23" s="5">
        <v>0</v>
      </c>
      <c r="I23" s="5">
        <v>74</v>
      </c>
      <c r="J23" s="5">
        <v>23</v>
      </c>
      <c r="K23" s="5">
        <v>4</v>
      </c>
      <c r="L23" s="5">
        <v>8</v>
      </c>
      <c r="M23" s="5">
        <v>0</v>
      </c>
    </row>
    <row r="24" spans="1:23" x14ac:dyDescent="0.35">
      <c r="A24" s="5" t="s">
        <v>60</v>
      </c>
      <c r="B24" s="6">
        <f t="shared" si="0"/>
        <v>1</v>
      </c>
      <c r="C24" s="6">
        <f t="shared" si="1"/>
        <v>2</v>
      </c>
      <c r="D24" s="5">
        <v>0</v>
      </c>
      <c r="E24" s="5">
        <v>0</v>
      </c>
      <c r="F24" s="5">
        <v>0</v>
      </c>
      <c r="G24" s="5">
        <v>0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2</v>
      </c>
    </row>
    <row r="25" spans="1:23" x14ac:dyDescent="0.35">
      <c r="A25" s="7">
        <v>3794</v>
      </c>
      <c r="B25" s="8">
        <f t="shared" ref="B25:M25" si="3">SUM(B26:B28)</f>
        <v>150</v>
      </c>
      <c r="C25" s="8">
        <f t="shared" si="3"/>
        <v>282</v>
      </c>
      <c r="D25" s="8">
        <f t="shared" si="3"/>
        <v>97</v>
      </c>
      <c r="E25" s="8">
        <f t="shared" si="3"/>
        <v>29</v>
      </c>
      <c r="F25" s="8">
        <f t="shared" si="3"/>
        <v>3</v>
      </c>
      <c r="G25" s="8">
        <f t="shared" si="3"/>
        <v>21</v>
      </c>
      <c r="H25" s="8">
        <f t="shared" si="3"/>
        <v>0</v>
      </c>
      <c r="I25" s="8">
        <f t="shared" si="3"/>
        <v>195</v>
      </c>
      <c r="J25" s="8">
        <f t="shared" si="3"/>
        <v>53</v>
      </c>
      <c r="K25" s="8">
        <f t="shared" si="3"/>
        <v>5</v>
      </c>
      <c r="L25" s="8">
        <f t="shared" si="3"/>
        <v>29</v>
      </c>
      <c r="M25" s="8">
        <f t="shared" si="3"/>
        <v>0</v>
      </c>
    </row>
    <row r="26" spans="1:23" x14ac:dyDescent="0.35">
      <c r="A26" s="5" t="s">
        <v>31</v>
      </c>
      <c r="B26" s="9">
        <f t="shared" ref="B26:B34" si="4">SUM(D26:H26)</f>
        <v>44</v>
      </c>
      <c r="C26" s="9">
        <f t="shared" ref="C26:C34" si="5">SUM(I26:M26)</f>
        <v>84</v>
      </c>
      <c r="D26" s="5">
        <v>32</v>
      </c>
      <c r="E26" s="5">
        <v>8</v>
      </c>
      <c r="F26" s="5">
        <v>1</v>
      </c>
      <c r="G26" s="5">
        <v>3</v>
      </c>
      <c r="H26" s="9">
        <v>0</v>
      </c>
      <c r="I26" s="5">
        <v>65</v>
      </c>
      <c r="J26" s="5">
        <v>13</v>
      </c>
      <c r="K26" s="5">
        <v>2</v>
      </c>
      <c r="L26" s="5">
        <v>4</v>
      </c>
      <c r="M26" s="9">
        <v>0</v>
      </c>
    </row>
    <row r="27" spans="1:23" x14ac:dyDescent="0.35">
      <c r="A27" s="5" t="s">
        <v>32</v>
      </c>
      <c r="B27" s="9">
        <f t="shared" si="4"/>
        <v>37</v>
      </c>
      <c r="C27" s="9">
        <f t="shared" si="5"/>
        <v>70</v>
      </c>
      <c r="D27" s="5">
        <v>25</v>
      </c>
      <c r="E27" s="5">
        <v>8</v>
      </c>
      <c r="F27" s="5">
        <v>1</v>
      </c>
      <c r="G27" s="5">
        <v>3</v>
      </c>
      <c r="H27" s="9">
        <v>0</v>
      </c>
      <c r="I27" s="5">
        <v>48</v>
      </c>
      <c r="J27" s="5">
        <v>18</v>
      </c>
      <c r="K27" s="5">
        <v>1</v>
      </c>
      <c r="L27" s="5">
        <v>3</v>
      </c>
      <c r="M27" s="9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35">
      <c r="A28" s="5" t="s">
        <v>33</v>
      </c>
      <c r="B28" s="9">
        <f t="shared" si="4"/>
        <v>69</v>
      </c>
      <c r="C28" s="9">
        <f t="shared" si="5"/>
        <v>128</v>
      </c>
      <c r="D28" s="5">
        <v>40</v>
      </c>
      <c r="E28" s="5">
        <v>13</v>
      </c>
      <c r="F28" s="5">
        <v>1</v>
      </c>
      <c r="G28" s="5">
        <v>15</v>
      </c>
      <c r="H28" s="9">
        <v>0</v>
      </c>
      <c r="I28" s="5">
        <v>82</v>
      </c>
      <c r="J28" s="5">
        <v>22</v>
      </c>
      <c r="K28" s="5">
        <v>2</v>
      </c>
      <c r="L28" s="5">
        <v>22</v>
      </c>
      <c r="M28" s="9">
        <v>0</v>
      </c>
    </row>
    <row r="29" spans="1:23" x14ac:dyDescent="0.35">
      <c r="A29" s="7">
        <v>3795</v>
      </c>
      <c r="B29" s="8">
        <f t="shared" si="4"/>
        <v>92</v>
      </c>
      <c r="C29" s="8">
        <f t="shared" si="5"/>
        <v>130</v>
      </c>
      <c r="D29" s="8">
        <f t="shared" ref="D29:M29" si="6">SUM(D30:D31)</f>
        <v>37</v>
      </c>
      <c r="E29" s="8">
        <f t="shared" si="6"/>
        <v>14</v>
      </c>
      <c r="F29" s="8">
        <f t="shared" si="6"/>
        <v>11</v>
      </c>
      <c r="G29" s="8">
        <f t="shared" si="6"/>
        <v>30</v>
      </c>
      <c r="H29" s="8">
        <f t="shared" si="6"/>
        <v>0</v>
      </c>
      <c r="I29" s="8">
        <f t="shared" si="6"/>
        <v>57</v>
      </c>
      <c r="J29" s="8">
        <f t="shared" si="6"/>
        <v>21</v>
      </c>
      <c r="K29" s="8">
        <f t="shared" si="6"/>
        <v>16</v>
      </c>
      <c r="L29" s="8">
        <f t="shared" si="6"/>
        <v>36</v>
      </c>
      <c r="M29" s="8">
        <f t="shared" si="6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35">
      <c r="A30" s="5" t="s">
        <v>34</v>
      </c>
      <c r="B30" s="9">
        <f t="shared" si="4"/>
        <v>27</v>
      </c>
      <c r="C30" s="9">
        <f t="shared" si="5"/>
        <v>39</v>
      </c>
      <c r="D30" s="5">
        <v>10</v>
      </c>
      <c r="E30" s="5">
        <v>4</v>
      </c>
      <c r="F30" s="5">
        <v>3</v>
      </c>
      <c r="G30" s="5">
        <v>10</v>
      </c>
      <c r="H30" s="9">
        <v>0</v>
      </c>
      <c r="I30" s="5">
        <v>18</v>
      </c>
      <c r="J30" s="5">
        <v>6</v>
      </c>
      <c r="K30" s="5">
        <v>4</v>
      </c>
      <c r="L30" s="5">
        <v>11</v>
      </c>
      <c r="M30" s="9">
        <v>0</v>
      </c>
    </row>
    <row r="31" spans="1:23" x14ac:dyDescent="0.35">
      <c r="A31" s="5" t="s">
        <v>35</v>
      </c>
      <c r="B31" s="9">
        <f t="shared" si="4"/>
        <v>65</v>
      </c>
      <c r="C31" s="9">
        <f t="shared" si="5"/>
        <v>91</v>
      </c>
      <c r="D31" s="5">
        <v>27</v>
      </c>
      <c r="E31" s="5">
        <v>10</v>
      </c>
      <c r="F31" s="5">
        <v>8</v>
      </c>
      <c r="G31" s="5">
        <v>20</v>
      </c>
      <c r="H31" s="9">
        <v>0</v>
      </c>
      <c r="I31" s="5">
        <v>39</v>
      </c>
      <c r="J31" s="5">
        <v>15</v>
      </c>
      <c r="K31" s="5">
        <v>12</v>
      </c>
      <c r="L31" s="5">
        <v>25</v>
      </c>
      <c r="M31" s="9">
        <v>0</v>
      </c>
    </row>
    <row r="32" spans="1:23" x14ac:dyDescent="0.35">
      <c r="A32" s="18">
        <v>3791</v>
      </c>
      <c r="B32" s="8">
        <f t="shared" si="4"/>
        <v>84</v>
      </c>
      <c r="C32" s="8">
        <f t="shared" si="5"/>
        <v>141</v>
      </c>
      <c r="D32" s="8">
        <f t="shared" ref="D32:M32" si="7">SUM(D33:D34)</f>
        <v>39</v>
      </c>
      <c r="E32" s="8">
        <f t="shared" si="7"/>
        <v>32</v>
      </c>
      <c r="F32" s="8">
        <f t="shared" si="7"/>
        <v>4</v>
      </c>
      <c r="G32" s="8">
        <f t="shared" si="7"/>
        <v>9</v>
      </c>
      <c r="H32" s="8">
        <f t="shared" si="7"/>
        <v>0</v>
      </c>
      <c r="I32" s="8">
        <f t="shared" si="7"/>
        <v>61</v>
      </c>
      <c r="J32" s="8">
        <f t="shared" si="7"/>
        <v>56</v>
      </c>
      <c r="K32" s="8">
        <f t="shared" si="7"/>
        <v>7</v>
      </c>
      <c r="L32" s="8">
        <f t="shared" si="7"/>
        <v>17</v>
      </c>
      <c r="M32" s="8">
        <f t="shared" si="7"/>
        <v>0</v>
      </c>
    </row>
    <row r="33" spans="1:23" x14ac:dyDescent="0.35">
      <c r="A33" s="5" t="s">
        <v>36</v>
      </c>
      <c r="B33" s="6">
        <f t="shared" si="4"/>
        <v>48</v>
      </c>
      <c r="C33" s="9">
        <f t="shared" si="5"/>
        <v>81</v>
      </c>
      <c r="D33" s="5">
        <v>23</v>
      </c>
      <c r="E33" s="5">
        <v>21</v>
      </c>
      <c r="F33" s="5">
        <v>1</v>
      </c>
      <c r="G33" s="5">
        <v>3</v>
      </c>
      <c r="H33" s="9">
        <v>0</v>
      </c>
      <c r="I33" s="5">
        <v>37</v>
      </c>
      <c r="J33" s="5">
        <v>36</v>
      </c>
      <c r="K33" s="5">
        <v>2</v>
      </c>
      <c r="L33" s="5">
        <v>6</v>
      </c>
      <c r="M33" s="9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5">
      <c r="A34" s="5" t="s">
        <v>37</v>
      </c>
      <c r="B34" s="6">
        <f t="shared" si="4"/>
        <v>36</v>
      </c>
      <c r="C34" s="9">
        <f t="shared" si="5"/>
        <v>60</v>
      </c>
      <c r="D34" s="5">
        <v>16</v>
      </c>
      <c r="E34" s="5">
        <v>11</v>
      </c>
      <c r="F34" s="5">
        <v>3</v>
      </c>
      <c r="G34" s="5">
        <v>6</v>
      </c>
      <c r="H34" s="9">
        <v>0</v>
      </c>
      <c r="I34" s="5">
        <v>24</v>
      </c>
      <c r="J34" s="5">
        <v>20</v>
      </c>
      <c r="K34" s="5">
        <v>5</v>
      </c>
      <c r="L34" s="5">
        <v>11</v>
      </c>
      <c r="M34" s="9">
        <v>0</v>
      </c>
    </row>
    <row r="35" spans="1:23" x14ac:dyDescent="0.35">
      <c r="A35" s="11" t="s">
        <v>38</v>
      </c>
      <c r="B35" s="12">
        <f t="shared" ref="B35:M35" si="8">B4+B25+B29+B32</f>
        <v>1070</v>
      </c>
      <c r="C35" s="12">
        <f t="shared" si="8"/>
        <v>1983</v>
      </c>
      <c r="D35" s="12">
        <f t="shared" si="8"/>
        <v>613</v>
      </c>
      <c r="E35" s="12">
        <f t="shared" si="8"/>
        <v>299</v>
      </c>
      <c r="F35" s="12">
        <f t="shared" si="8"/>
        <v>49</v>
      </c>
      <c r="G35" s="12">
        <f t="shared" si="8"/>
        <v>104</v>
      </c>
      <c r="H35" s="12">
        <f t="shared" si="8"/>
        <v>5</v>
      </c>
      <c r="I35" s="12">
        <f t="shared" si="8"/>
        <v>1133</v>
      </c>
      <c r="J35" s="12">
        <f t="shared" si="8"/>
        <v>607</v>
      </c>
      <c r="K35" s="12">
        <f t="shared" si="8"/>
        <v>85</v>
      </c>
      <c r="L35" s="12">
        <f t="shared" si="8"/>
        <v>147</v>
      </c>
      <c r="M35" s="12">
        <f t="shared" si="8"/>
        <v>11</v>
      </c>
    </row>
    <row r="37" spans="1:23" ht="20" x14ac:dyDescent="0.35">
      <c r="A37" s="33" t="s">
        <v>39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spans="1:23" ht="15" customHeight="1" x14ac:dyDescent="0.35">
      <c r="A38" s="34" t="s">
        <v>40</v>
      </c>
      <c r="B38" s="40" t="s">
        <v>6</v>
      </c>
      <c r="C38" s="40"/>
      <c r="D38" s="40" t="s">
        <v>7</v>
      </c>
      <c r="E38" s="40"/>
      <c r="F38" s="40" t="s">
        <v>8</v>
      </c>
      <c r="G38" s="40"/>
      <c r="H38" s="40" t="s">
        <v>9</v>
      </c>
      <c r="I38" s="40"/>
      <c r="J38" s="40" t="s">
        <v>41</v>
      </c>
      <c r="K38" s="40"/>
      <c r="L38" s="40" t="s">
        <v>56</v>
      </c>
      <c r="M38" s="40"/>
      <c r="N38" s="40" t="s">
        <v>42</v>
      </c>
      <c r="O38" s="40" t="s">
        <v>43</v>
      </c>
    </row>
    <row r="39" spans="1:23" x14ac:dyDescent="0.35">
      <c r="A39" s="34"/>
      <c r="B39" s="13" t="s">
        <v>44</v>
      </c>
      <c r="C39" s="13" t="s">
        <v>45</v>
      </c>
      <c r="D39" s="13" t="s">
        <v>44</v>
      </c>
      <c r="E39" s="13" t="s">
        <v>45</v>
      </c>
      <c r="F39" s="13" t="s">
        <v>44</v>
      </c>
      <c r="G39" s="13" t="s">
        <v>45</v>
      </c>
      <c r="H39" s="13" t="s">
        <v>44</v>
      </c>
      <c r="I39" s="13" t="s">
        <v>45</v>
      </c>
      <c r="J39" s="13" t="s">
        <v>44</v>
      </c>
      <c r="K39" s="13" t="s">
        <v>45</v>
      </c>
      <c r="L39" s="13" t="s">
        <v>44</v>
      </c>
      <c r="M39" s="13" t="s">
        <v>45</v>
      </c>
      <c r="N39" s="40"/>
      <c r="O39" s="40"/>
    </row>
    <row r="40" spans="1:23" x14ac:dyDescent="0.35">
      <c r="A40" s="14" t="s">
        <v>46</v>
      </c>
      <c r="B40" s="19">
        <v>548</v>
      </c>
      <c r="C40" s="19">
        <v>1148</v>
      </c>
      <c r="D40" s="19">
        <v>254</v>
      </c>
      <c r="E40" s="19">
        <v>588</v>
      </c>
      <c r="F40" s="19">
        <v>46</v>
      </c>
      <c r="G40" s="19">
        <v>89</v>
      </c>
      <c r="H40" s="19">
        <v>97</v>
      </c>
      <c r="I40" s="19">
        <v>146</v>
      </c>
      <c r="J40" s="19">
        <v>4</v>
      </c>
      <c r="K40" s="19">
        <v>11</v>
      </c>
      <c r="L40" s="19">
        <v>1</v>
      </c>
      <c r="M40" s="19">
        <v>1</v>
      </c>
      <c r="N40" s="15">
        <f>SUM(B40+D40+F40+H40+J40+L40)</f>
        <v>950</v>
      </c>
      <c r="O40" s="15">
        <f>SUM(C40+E40+G40+I40+K40+M40)</f>
        <v>1983</v>
      </c>
    </row>
    <row r="41" spans="1:23" x14ac:dyDescent="0.35">
      <c r="A41" s="16" t="s">
        <v>48</v>
      </c>
      <c r="B41" s="17">
        <f t="shared" ref="B41:O41" si="9">SUM(B40:B40)</f>
        <v>548</v>
      </c>
      <c r="C41" s="17">
        <f t="shared" si="9"/>
        <v>1148</v>
      </c>
      <c r="D41" s="17">
        <f t="shared" si="9"/>
        <v>254</v>
      </c>
      <c r="E41" s="17">
        <f t="shared" si="9"/>
        <v>588</v>
      </c>
      <c r="F41" s="17">
        <f t="shared" si="9"/>
        <v>46</v>
      </c>
      <c r="G41" s="17">
        <f t="shared" si="9"/>
        <v>89</v>
      </c>
      <c r="H41" s="17">
        <f t="shared" si="9"/>
        <v>97</v>
      </c>
      <c r="I41" s="17">
        <f t="shared" si="9"/>
        <v>146</v>
      </c>
      <c r="J41" s="17">
        <f t="shared" si="9"/>
        <v>4</v>
      </c>
      <c r="K41" s="17">
        <f t="shared" si="9"/>
        <v>11</v>
      </c>
      <c r="L41" s="17">
        <f t="shared" si="9"/>
        <v>1</v>
      </c>
      <c r="M41" s="17">
        <f t="shared" si="9"/>
        <v>1</v>
      </c>
      <c r="N41" s="17">
        <f t="shared" si="9"/>
        <v>950</v>
      </c>
      <c r="O41" s="17">
        <f t="shared" si="9"/>
        <v>1983</v>
      </c>
    </row>
  </sheetData>
  <mergeCells count="16">
    <mergeCell ref="A1:M1"/>
    <mergeCell ref="A2:A3"/>
    <mergeCell ref="B2:B3"/>
    <mergeCell ref="C2:C3"/>
    <mergeCell ref="D2:H2"/>
    <mergeCell ref="I2:M2"/>
    <mergeCell ref="A37:O37"/>
    <mergeCell ref="A38:A39"/>
    <mergeCell ref="B38:C38"/>
    <mergeCell ref="D38:E38"/>
    <mergeCell ref="F38:G38"/>
    <mergeCell ref="H38:I38"/>
    <mergeCell ref="J38:K38"/>
    <mergeCell ref="L38:M38"/>
    <mergeCell ref="N38:N39"/>
    <mergeCell ref="O38:O39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zoomScale="80" zoomScaleNormal="80" workbookViewId="0">
      <pane ySplit="3" topLeftCell="A4" activePane="bottomLeft" state="frozen"/>
      <selection pane="bottomLeft" activeCell="E43" sqref="E43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8" width="10.54296875" customWidth="1"/>
    <col min="9" max="9" width="7.7265625" customWidth="1"/>
    <col min="10" max="10" width="9.7265625" customWidth="1"/>
    <col min="11" max="11" width="8.81640625" customWidth="1"/>
    <col min="12" max="12" width="9.81640625" customWidth="1"/>
    <col min="13" max="13" width="9.54296875" customWidth="1"/>
    <col min="1024" max="1024" width="11.54296875" customWidth="1"/>
  </cols>
  <sheetData>
    <row r="1" spans="1:23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3" ht="15" customHeight="1" x14ac:dyDescent="0.35">
      <c r="A2" s="36" t="s">
        <v>1</v>
      </c>
      <c r="B2" s="37" t="s">
        <v>61</v>
      </c>
      <c r="C2" s="38" t="s">
        <v>62</v>
      </c>
      <c r="D2" s="39" t="s">
        <v>4</v>
      </c>
      <c r="E2" s="39"/>
      <c r="F2" s="39"/>
      <c r="G2" s="39"/>
      <c r="H2" s="39"/>
      <c r="I2" s="39" t="s">
        <v>5</v>
      </c>
      <c r="J2" s="39"/>
      <c r="K2" s="39"/>
      <c r="L2" s="39"/>
      <c r="M2" s="39"/>
    </row>
    <row r="3" spans="1:23" ht="33.15" customHeight="1" x14ac:dyDescent="0.35">
      <c r="A3" s="36"/>
      <c r="B3" s="37"/>
      <c r="C3" s="38"/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23" x14ac:dyDescent="0.35">
      <c r="A4" s="3">
        <v>3792</v>
      </c>
      <c r="B4" s="3">
        <f t="shared" ref="B4:B21" si="0">SUM(D4:H4)</f>
        <v>714</v>
      </c>
      <c r="C4" s="3">
        <f t="shared" ref="C4:C21" si="1">SUM(I4:M4)</f>
        <v>1426</v>
      </c>
      <c r="D4" s="3">
        <f t="shared" ref="D4:M4" si="2">SUM(D5:D21)</f>
        <v>415</v>
      </c>
      <c r="E4" s="3">
        <f t="shared" si="2"/>
        <v>233</v>
      </c>
      <c r="F4" s="3">
        <f t="shared" si="2"/>
        <v>31</v>
      </c>
      <c r="G4" s="3">
        <f t="shared" si="2"/>
        <v>34</v>
      </c>
      <c r="H4" s="3">
        <f t="shared" si="2"/>
        <v>1</v>
      </c>
      <c r="I4" s="3">
        <f t="shared" si="2"/>
        <v>814</v>
      </c>
      <c r="J4" s="3">
        <f t="shared" si="2"/>
        <v>496</v>
      </c>
      <c r="K4" s="3">
        <f t="shared" si="2"/>
        <v>59</v>
      </c>
      <c r="L4" s="3">
        <f t="shared" si="2"/>
        <v>48</v>
      </c>
      <c r="M4" s="3">
        <f t="shared" si="2"/>
        <v>9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5" t="s">
        <v>51</v>
      </c>
      <c r="B5" s="6">
        <f t="shared" si="0"/>
        <v>1</v>
      </c>
      <c r="C5" s="6">
        <f t="shared" si="1"/>
        <v>9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20">
        <v>9</v>
      </c>
    </row>
    <row r="6" spans="1:23" x14ac:dyDescent="0.35">
      <c r="A6" s="5" t="s">
        <v>13</v>
      </c>
      <c r="B6" s="6">
        <f t="shared" si="0"/>
        <v>38</v>
      </c>
      <c r="C6" s="6">
        <f t="shared" si="1"/>
        <v>71</v>
      </c>
      <c r="D6" s="5">
        <v>16</v>
      </c>
      <c r="E6" s="5">
        <v>20</v>
      </c>
      <c r="F6" s="5">
        <v>1</v>
      </c>
      <c r="G6" s="5">
        <v>1</v>
      </c>
      <c r="H6" s="5">
        <v>0</v>
      </c>
      <c r="I6" s="5">
        <v>35</v>
      </c>
      <c r="J6" s="5">
        <v>33</v>
      </c>
      <c r="K6" s="5">
        <v>2</v>
      </c>
      <c r="L6" s="5">
        <v>1</v>
      </c>
      <c r="M6" s="5">
        <v>0</v>
      </c>
    </row>
    <row r="7" spans="1:23" x14ac:dyDescent="0.35">
      <c r="A7" s="5" t="s">
        <v>14</v>
      </c>
      <c r="B7" s="6">
        <f t="shared" si="0"/>
        <v>2</v>
      </c>
      <c r="C7" s="6">
        <f t="shared" si="1"/>
        <v>2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23" x14ac:dyDescent="0.35">
      <c r="A8" s="5" t="s">
        <v>15</v>
      </c>
      <c r="B8" s="6">
        <f t="shared" si="0"/>
        <v>73</v>
      </c>
      <c r="C8" s="6">
        <f t="shared" si="1"/>
        <v>144</v>
      </c>
      <c r="D8" s="5">
        <v>39</v>
      </c>
      <c r="E8" s="5">
        <v>32</v>
      </c>
      <c r="F8" s="5">
        <v>1</v>
      </c>
      <c r="G8" s="5">
        <v>1</v>
      </c>
      <c r="H8" s="5">
        <v>0</v>
      </c>
      <c r="I8" s="5">
        <v>83</v>
      </c>
      <c r="J8" s="5">
        <v>59</v>
      </c>
      <c r="K8" s="5">
        <v>1</v>
      </c>
      <c r="L8" s="5">
        <v>1</v>
      </c>
      <c r="M8" s="5">
        <v>0</v>
      </c>
    </row>
    <row r="9" spans="1:23" x14ac:dyDescent="0.35">
      <c r="A9" s="5" t="s">
        <v>16</v>
      </c>
      <c r="B9" s="6">
        <f t="shared" si="0"/>
        <v>3</v>
      </c>
      <c r="C9" s="6">
        <f t="shared" si="1"/>
        <v>4</v>
      </c>
      <c r="D9" s="5">
        <v>2</v>
      </c>
      <c r="E9" s="5">
        <v>1</v>
      </c>
      <c r="F9" s="5">
        <v>0</v>
      </c>
      <c r="G9" s="5">
        <v>0</v>
      </c>
      <c r="H9" s="5">
        <v>0</v>
      </c>
      <c r="I9" s="5">
        <v>3</v>
      </c>
      <c r="J9" s="5">
        <v>1</v>
      </c>
      <c r="K9" s="5">
        <v>0</v>
      </c>
      <c r="L9" s="5">
        <v>0</v>
      </c>
      <c r="M9" s="5">
        <v>0</v>
      </c>
    </row>
    <row r="10" spans="1:23" x14ac:dyDescent="0.35">
      <c r="A10" s="5" t="s">
        <v>17</v>
      </c>
      <c r="B10" s="6">
        <f t="shared" si="0"/>
        <v>13</v>
      </c>
      <c r="C10" s="6">
        <f t="shared" si="1"/>
        <v>38</v>
      </c>
      <c r="D10" s="5">
        <v>11</v>
      </c>
      <c r="E10" s="5">
        <v>1</v>
      </c>
      <c r="F10" s="5">
        <v>1</v>
      </c>
      <c r="G10" s="5">
        <v>0</v>
      </c>
      <c r="H10" s="5">
        <v>0</v>
      </c>
      <c r="I10" s="5">
        <v>33</v>
      </c>
      <c r="J10" s="5">
        <v>3</v>
      </c>
      <c r="K10" s="5">
        <v>2</v>
      </c>
      <c r="L10" s="5">
        <v>0</v>
      </c>
      <c r="M10" s="5">
        <v>0</v>
      </c>
    </row>
    <row r="11" spans="1:23" x14ac:dyDescent="0.35">
      <c r="A11" s="5" t="s">
        <v>19</v>
      </c>
      <c r="B11" s="6">
        <f t="shared" si="0"/>
        <v>7</v>
      </c>
      <c r="C11" s="6">
        <f t="shared" si="1"/>
        <v>9</v>
      </c>
      <c r="D11" s="5">
        <v>2</v>
      </c>
      <c r="E11" s="5">
        <v>4</v>
      </c>
      <c r="F11" s="5">
        <v>0</v>
      </c>
      <c r="G11" s="5">
        <v>1</v>
      </c>
      <c r="H11" s="5">
        <v>0</v>
      </c>
      <c r="I11" s="5">
        <v>2</v>
      </c>
      <c r="J11" s="5">
        <v>6</v>
      </c>
      <c r="K11" s="5">
        <v>0</v>
      </c>
      <c r="L11" s="5">
        <v>1</v>
      </c>
      <c r="M11" s="5">
        <v>0</v>
      </c>
    </row>
    <row r="12" spans="1:23" x14ac:dyDescent="0.35">
      <c r="A12" s="5" t="s">
        <v>21</v>
      </c>
      <c r="B12" s="6">
        <f t="shared" si="0"/>
        <v>88</v>
      </c>
      <c r="C12" s="6">
        <f t="shared" si="1"/>
        <v>223</v>
      </c>
      <c r="D12" s="5">
        <v>45</v>
      </c>
      <c r="E12" s="5">
        <v>33</v>
      </c>
      <c r="F12" s="5">
        <v>6</v>
      </c>
      <c r="G12" s="5">
        <v>4</v>
      </c>
      <c r="H12" s="5">
        <v>0</v>
      </c>
      <c r="I12" s="5">
        <v>111</v>
      </c>
      <c r="J12" s="5">
        <v>91</v>
      </c>
      <c r="K12" s="5">
        <v>16</v>
      </c>
      <c r="L12" s="5">
        <v>5</v>
      </c>
      <c r="M12" s="5">
        <v>0</v>
      </c>
    </row>
    <row r="13" spans="1:23" x14ac:dyDescent="0.35">
      <c r="A13" s="5" t="s">
        <v>22</v>
      </c>
      <c r="B13" s="6">
        <f t="shared" si="0"/>
        <v>41</v>
      </c>
      <c r="C13" s="6">
        <f t="shared" si="1"/>
        <v>66</v>
      </c>
      <c r="D13" s="5">
        <v>24</v>
      </c>
      <c r="E13" s="5">
        <v>12</v>
      </c>
      <c r="F13" s="5">
        <v>4</v>
      </c>
      <c r="G13" s="5">
        <v>1</v>
      </c>
      <c r="H13" s="5">
        <v>0</v>
      </c>
      <c r="I13" s="5">
        <v>39</v>
      </c>
      <c r="J13" s="5">
        <v>18</v>
      </c>
      <c r="K13" s="5">
        <v>7</v>
      </c>
      <c r="L13" s="5">
        <v>2</v>
      </c>
      <c r="M13" s="5">
        <v>0</v>
      </c>
    </row>
    <row r="14" spans="1:23" x14ac:dyDescent="0.35">
      <c r="A14" s="5" t="s">
        <v>23</v>
      </c>
      <c r="B14" s="6">
        <f t="shared" si="0"/>
        <v>103</v>
      </c>
      <c r="C14" s="6">
        <f t="shared" si="1"/>
        <v>212</v>
      </c>
      <c r="D14" s="5">
        <v>65</v>
      </c>
      <c r="E14" s="5">
        <v>32</v>
      </c>
      <c r="F14" s="5">
        <v>5</v>
      </c>
      <c r="G14" s="5">
        <v>1</v>
      </c>
      <c r="H14" s="5">
        <v>0</v>
      </c>
      <c r="I14" s="5">
        <v>126</v>
      </c>
      <c r="J14" s="5">
        <v>75</v>
      </c>
      <c r="K14" s="5">
        <v>10</v>
      </c>
      <c r="L14" s="5">
        <v>1</v>
      </c>
      <c r="M14" s="5">
        <v>0</v>
      </c>
    </row>
    <row r="15" spans="1:23" x14ac:dyDescent="0.35">
      <c r="A15" s="5" t="s">
        <v>24</v>
      </c>
      <c r="B15" s="6">
        <f t="shared" si="0"/>
        <v>14</v>
      </c>
      <c r="C15" s="6">
        <f t="shared" si="1"/>
        <v>18</v>
      </c>
      <c r="D15" s="5">
        <v>7</v>
      </c>
      <c r="E15" s="5">
        <v>5</v>
      </c>
      <c r="F15" s="5">
        <v>1</v>
      </c>
      <c r="G15" s="5">
        <v>1</v>
      </c>
      <c r="H15" s="5">
        <v>0</v>
      </c>
      <c r="I15" s="5">
        <v>9</v>
      </c>
      <c r="J15" s="5">
        <v>6</v>
      </c>
      <c r="K15" s="5">
        <v>2</v>
      </c>
      <c r="L15" s="5">
        <v>1</v>
      </c>
      <c r="M15" s="5">
        <v>0</v>
      </c>
    </row>
    <row r="16" spans="1:23" x14ac:dyDescent="0.35">
      <c r="A16" s="5" t="s">
        <v>25</v>
      </c>
      <c r="B16" s="6">
        <f t="shared" si="0"/>
        <v>73</v>
      </c>
      <c r="C16" s="6">
        <f t="shared" si="1"/>
        <v>142</v>
      </c>
      <c r="D16" s="5">
        <v>36</v>
      </c>
      <c r="E16" s="5">
        <v>28</v>
      </c>
      <c r="F16" s="5">
        <v>3</v>
      </c>
      <c r="G16" s="5">
        <v>6</v>
      </c>
      <c r="H16" s="5">
        <v>0</v>
      </c>
      <c r="I16" s="5">
        <v>72</v>
      </c>
      <c r="J16" s="5">
        <v>55</v>
      </c>
      <c r="K16" s="5">
        <v>5</v>
      </c>
      <c r="L16" s="5">
        <v>10</v>
      </c>
      <c r="M16" s="5">
        <v>0</v>
      </c>
    </row>
    <row r="17" spans="1:23" x14ac:dyDescent="0.35">
      <c r="A17" s="5" t="s">
        <v>26</v>
      </c>
      <c r="B17" s="6">
        <f t="shared" si="0"/>
        <v>49</v>
      </c>
      <c r="C17" s="6">
        <f t="shared" si="1"/>
        <v>95</v>
      </c>
      <c r="D17" s="5">
        <v>30</v>
      </c>
      <c r="E17" s="5">
        <v>14</v>
      </c>
      <c r="F17" s="5">
        <v>1</v>
      </c>
      <c r="G17" s="5">
        <v>4</v>
      </c>
      <c r="H17" s="5">
        <v>0</v>
      </c>
      <c r="I17" s="5">
        <v>46</v>
      </c>
      <c r="J17" s="5">
        <v>44</v>
      </c>
      <c r="K17" s="5">
        <v>1</v>
      </c>
      <c r="L17" s="5">
        <v>4</v>
      </c>
      <c r="M17" s="5">
        <v>0</v>
      </c>
    </row>
    <row r="18" spans="1:23" x14ac:dyDescent="0.35">
      <c r="A18" s="5" t="s">
        <v>27</v>
      </c>
      <c r="B18" s="6">
        <f t="shared" si="0"/>
        <v>29</v>
      </c>
      <c r="C18" s="6">
        <f t="shared" si="1"/>
        <v>54</v>
      </c>
      <c r="D18" s="5">
        <v>13</v>
      </c>
      <c r="E18" s="5">
        <v>11</v>
      </c>
      <c r="F18" s="5">
        <v>4</v>
      </c>
      <c r="G18" s="5">
        <v>1</v>
      </c>
      <c r="H18" s="5">
        <v>0</v>
      </c>
      <c r="I18" s="5">
        <v>22</v>
      </c>
      <c r="J18" s="5">
        <v>23</v>
      </c>
      <c r="K18" s="5">
        <v>7</v>
      </c>
      <c r="L18" s="5">
        <v>2</v>
      </c>
      <c r="M18" s="5">
        <v>0</v>
      </c>
    </row>
    <row r="19" spans="1:23" x14ac:dyDescent="0.35">
      <c r="A19" s="5" t="s">
        <v>28</v>
      </c>
      <c r="B19" s="6">
        <f t="shared" si="0"/>
        <v>101</v>
      </c>
      <c r="C19" s="6">
        <f t="shared" si="1"/>
        <v>210</v>
      </c>
      <c r="D19" s="5">
        <v>73</v>
      </c>
      <c r="E19" s="5">
        <v>22</v>
      </c>
      <c r="F19" s="5">
        <v>1</v>
      </c>
      <c r="G19" s="5">
        <v>5</v>
      </c>
      <c r="H19" s="5">
        <v>0</v>
      </c>
      <c r="I19" s="5">
        <v>147</v>
      </c>
      <c r="J19" s="5">
        <v>53</v>
      </c>
      <c r="K19" s="5">
        <v>1</v>
      </c>
      <c r="L19" s="5">
        <v>9</v>
      </c>
      <c r="M19" s="5">
        <v>0</v>
      </c>
    </row>
    <row r="20" spans="1:23" x14ac:dyDescent="0.35">
      <c r="A20" s="5" t="s">
        <v>29</v>
      </c>
      <c r="B20" s="6">
        <f t="shared" si="0"/>
        <v>16</v>
      </c>
      <c r="C20" s="6">
        <f t="shared" si="1"/>
        <v>24</v>
      </c>
      <c r="D20" s="5">
        <v>9</v>
      </c>
      <c r="E20" s="5">
        <v>4</v>
      </c>
      <c r="F20" s="5">
        <v>1</v>
      </c>
      <c r="G20" s="5">
        <v>2</v>
      </c>
      <c r="H20" s="5">
        <v>0</v>
      </c>
      <c r="I20" s="5">
        <v>16</v>
      </c>
      <c r="J20" s="5">
        <v>5</v>
      </c>
      <c r="K20" s="5">
        <v>1</v>
      </c>
      <c r="L20" s="5">
        <v>2</v>
      </c>
      <c r="M20" s="5">
        <v>0</v>
      </c>
    </row>
    <row r="21" spans="1:23" x14ac:dyDescent="0.35">
      <c r="A21" s="5" t="s">
        <v>30</v>
      </c>
      <c r="B21" s="6">
        <f t="shared" si="0"/>
        <v>63</v>
      </c>
      <c r="C21" s="6">
        <f t="shared" si="1"/>
        <v>105</v>
      </c>
      <c r="D21" s="5">
        <v>41</v>
      </c>
      <c r="E21" s="5">
        <v>14</v>
      </c>
      <c r="F21" s="5">
        <v>2</v>
      </c>
      <c r="G21" s="5">
        <v>6</v>
      </c>
      <c r="H21" s="5">
        <v>0</v>
      </c>
      <c r="I21" s="5">
        <v>68</v>
      </c>
      <c r="J21" s="5">
        <v>24</v>
      </c>
      <c r="K21" s="5">
        <v>4</v>
      </c>
      <c r="L21" s="5">
        <v>9</v>
      </c>
      <c r="M21" s="5">
        <v>0</v>
      </c>
    </row>
    <row r="22" spans="1:23" x14ac:dyDescent="0.35">
      <c r="A22" s="7">
        <v>3794</v>
      </c>
      <c r="B22" s="8">
        <f t="shared" ref="B22:M22" si="3">SUM(B23:B25)</f>
        <v>149</v>
      </c>
      <c r="C22" s="8">
        <f t="shared" si="3"/>
        <v>303</v>
      </c>
      <c r="D22" s="8">
        <f t="shared" si="3"/>
        <v>94</v>
      </c>
      <c r="E22" s="8">
        <f t="shared" si="3"/>
        <v>26</v>
      </c>
      <c r="F22" s="8">
        <f t="shared" si="3"/>
        <v>3</v>
      </c>
      <c r="G22" s="8">
        <f t="shared" si="3"/>
        <v>26</v>
      </c>
      <c r="H22" s="8">
        <f t="shared" si="3"/>
        <v>0</v>
      </c>
      <c r="I22" s="8">
        <f t="shared" si="3"/>
        <v>213</v>
      </c>
      <c r="J22" s="8">
        <f t="shared" si="3"/>
        <v>46</v>
      </c>
      <c r="K22" s="8">
        <f t="shared" si="3"/>
        <v>3</v>
      </c>
      <c r="L22" s="8">
        <f t="shared" si="3"/>
        <v>41</v>
      </c>
      <c r="M22" s="8">
        <f t="shared" si="3"/>
        <v>0</v>
      </c>
    </row>
    <row r="23" spans="1:23" x14ac:dyDescent="0.35">
      <c r="A23" s="5" t="s">
        <v>31</v>
      </c>
      <c r="B23" s="9">
        <f t="shared" ref="B23:B31" si="4">SUM(D23:H23)</f>
        <v>46</v>
      </c>
      <c r="C23" s="9">
        <f t="shared" ref="C23:C31" si="5">SUM(I23:M23)</f>
        <v>91</v>
      </c>
      <c r="D23" s="5">
        <v>31</v>
      </c>
      <c r="E23" s="5">
        <v>10</v>
      </c>
      <c r="F23" s="5">
        <v>1</v>
      </c>
      <c r="G23" s="5">
        <v>4</v>
      </c>
      <c r="H23" s="9">
        <v>0</v>
      </c>
      <c r="I23" s="5">
        <v>67</v>
      </c>
      <c r="J23" s="5">
        <v>17</v>
      </c>
      <c r="K23" s="5">
        <v>1</v>
      </c>
      <c r="L23" s="5">
        <v>6</v>
      </c>
      <c r="M23" s="9">
        <v>0</v>
      </c>
    </row>
    <row r="24" spans="1:23" x14ac:dyDescent="0.35">
      <c r="A24" s="5" t="s">
        <v>32</v>
      </c>
      <c r="B24" s="9">
        <f t="shared" si="4"/>
        <v>37</v>
      </c>
      <c r="C24" s="9">
        <f t="shared" si="5"/>
        <v>76</v>
      </c>
      <c r="D24" s="5">
        <v>25</v>
      </c>
      <c r="E24" s="5">
        <v>8</v>
      </c>
      <c r="F24" s="5">
        <v>1</v>
      </c>
      <c r="G24" s="5">
        <v>3</v>
      </c>
      <c r="H24" s="9">
        <v>0</v>
      </c>
      <c r="I24" s="5">
        <v>56</v>
      </c>
      <c r="J24" s="5">
        <v>14</v>
      </c>
      <c r="K24" s="5">
        <v>1</v>
      </c>
      <c r="L24" s="5">
        <v>5</v>
      </c>
      <c r="M24" s="9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35">
      <c r="A25" s="5" t="s">
        <v>33</v>
      </c>
      <c r="B25" s="9">
        <f t="shared" si="4"/>
        <v>66</v>
      </c>
      <c r="C25" s="9">
        <f t="shared" si="5"/>
        <v>136</v>
      </c>
      <c r="D25" s="5">
        <v>38</v>
      </c>
      <c r="E25" s="5">
        <v>8</v>
      </c>
      <c r="F25" s="5">
        <v>1</v>
      </c>
      <c r="G25" s="5">
        <v>19</v>
      </c>
      <c r="H25" s="9">
        <v>0</v>
      </c>
      <c r="I25" s="5">
        <v>90</v>
      </c>
      <c r="J25" s="5">
        <v>15</v>
      </c>
      <c r="K25" s="5">
        <v>1</v>
      </c>
      <c r="L25" s="5">
        <v>30</v>
      </c>
      <c r="M25" s="9">
        <v>0</v>
      </c>
    </row>
    <row r="26" spans="1:23" x14ac:dyDescent="0.35">
      <c r="A26" s="18">
        <v>3795</v>
      </c>
      <c r="B26" s="8">
        <f t="shared" si="4"/>
        <v>81</v>
      </c>
      <c r="C26" s="8">
        <f t="shared" si="5"/>
        <v>142</v>
      </c>
      <c r="D26" s="8">
        <f t="shared" ref="D26:M26" si="6">SUM(D27:D28)</f>
        <v>32</v>
      </c>
      <c r="E26" s="8">
        <f t="shared" si="6"/>
        <v>12</v>
      </c>
      <c r="F26" s="8">
        <f t="shared" si="6"/>
        <v>15</v>
      </c>
      <c r="G26" s="8">
        <f t="shared" si="6"/>
        <v>22</v>
      </c>
      <c r="H26" s="8">
        <f t="shared" si="6"/>
        <v>0</v>
      </c>
      <c r="I26" s="8">
        <f t="shared" si="6"/>
        <v>60</v>
      </c>
      <c r="J26" s="8">
        <f t="shared" si="6"/>
        <v>14</v>
      </c>
      <c r="K26" s="8">
        <f t="shared" si="6"/>
        <v>38</v>
      </c>
      <c r="L26" s="8">
        <f t="shared" si="6"/>
        <v>30</v>
      </c>
      <c r="M26" s="8">
        <f t="shared" si="6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35">
      <c r="A27" s="5" t="s">
        <v>34</v>
      </c>
      <c r="B27" s="9">
        <f t="shared" si="4"/>
        <v>21</v>
      </c>
      <c r="C27" s="9">
        <f t="shared" si="5"/>
        <v>38</v>
      </c>
      <c r="D27" s="5">
        <v>9</v>
      </c>
      <c r="E27" s="5">
        <v>2</v>
      </c>
      <c r="F27" s="5">
        <v>4</v>
      </c>
      <c r="G27" s="5">
        <v>6</v>
      </c>
      <c r="H27" s="9">
        <v>0</v>
      </c>
      <c r="I27" s="5">
        <v>20</v>
      </c>
      <c r="J27" s="5">
        <v>2</v>
      </c>
      <c r="K27" s="5">
        <v>7</v>
      </c>
      <c r="L27" s="5">
        <v>9</v>
      </c>
      <c r="M27" s="9">
        <v>0</v>
      </c>
    </row>
    <row r="28" spans="1:23" x14ac:dyDescent="0.35">
      <c r="A28" s="5" t="s">
        <v>35</v>
      </c>
      <c r="B28" s="9">
        <f t="shared" si="4"/>
        <v>60</v>
      </c>
      <c r="C28" s="9">
        <f t="shared" si="5"/>
        <v>104</v>
      </c>
      <c r="D28" s="5">
        <v>23</v>
      </c>
      <c r="E28" s="5">
        <v>10</v>
      </c>
      <c r="F28" s="5">
        <v>11</v>
      </c>
      <c r="G28" s="5">
        <v>16</v>
      </c>
      <c r="H28" s="9">
        <v>0</v>
      </c>
      <c r="I28" s="5">
        <v>40</v>
      </c>
      <c r="J28" s="5">
        <v>12</v>
      </c>
      <c r="K28" s="5">
        <v>31</v>
      </c>
      <c r="L28" s="5">
        <v>21</v>
      </c>
      <c r="M28" s="9">
        <v>0</v>
      </c>
    </row>
    <row r="29" spans="1:23" x14ac:dyDescent="0.35">
      <c r="A29" s="18">
        <v>3791</v>
      </c>
      <c r="B29" s="8">
        <f t="shared" si="4"/>
        <v>86</v>
      </c>
      <c r="C29" s="8">
        <f t="shared" si="5"/>
        <v>150</v>
      </c>
      <c r="D29" s="8">
        <f t="shared" ref="D29:M29" si="7">SUM(D30:D31)</f>
        <v>43</v>
      </c>
      <c r="E29" s="8">
        <f t="shared" si="7"/>
        <v>28</v>
      </c>
      <c r="F29" s="8">
        <f t="shared" si="7"/>
        <v>3</v>
      </c>
      <c r="G29" s="8">
        <f t="shared" si="7"/>
        <v>12</v>
      </c>
      <c r="H29" s="8">
        <f t="shared" si="7"/>
        <v>0</v>
      </c>
      <c r="I29" s="8">
        <f t="shared" si="7"/>
        <v>69</v>
      </c>
      <c r="J29" s="8">
        <f t="shared" si="7"/>
        <v>53</v>
      </c>
      <c r="K29" s="8">
        <f t="shared" si="7"/>
        <v>10</v>
      </c>
      <c r="L29" s="8">
        <f t="shared" si="7"/>
        <v>18</v>
      </c>
      <c r="M29" s="8">
        <f t="shared" si="7"/>
        <v>0</v>
      </c>
    </row>
    <row r="30" spans="1:23" x14ac:dyDescent="0.35">
      <c r="A30" s="5" t="s">
        <v>36</v>
      </c>
      <c r="B30" s="6">
        <f t="shared" si="4"/>
        <v>50</v>
      </c>
      <c r="C30" s="9">
        <f t="shared" si="5"/>
        <v>82</v>
      </c>
      <c r="D30" s="5">
        <v>25</v>
      </c>
      <c r="E30" s="5">
        <v>19</v>
      </c>
      <c r="F30" s="5">
        <v>1</v>
      </c>
      <c r="G30" s="5">
        <v>5</v>
      </c>
      <c r="H30" s="9">
        <v>0</v>
      </c>
      <c r="I30" s="5">
        <v>41</v>
      </c>
      <c r="J30" s="5">
        <v>32</v>
      </c>
      <c r="K30" s="5">
        <v>2</v>
      </c>
      <c r="L30" s="5">
        <v>7</v>
      </c>
      <c r="M30" s="9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35">
      <c r="A31" s="5" t="s">
        <v>37</v>
      </c>
      <c r="B31" s="6">
        <f t="shared" si="4"/>
        <v>36</v>
      </c>
      <c r="C31" s="9">
        <f t="shared" si="5"/>
        <v>68</v>
      </c>
      <c r="D31" s="5">
        <v>18</v>
      </c>
      <c r="E31" s="5">
        <v>9</v>
      </c>
      <c r="F31" s="5">
        <v>2</v>
      </c>
      <c r="G31" s="5">
        <v>7</v>
      </c>
      <c r="H31" s="9">
        <v>0</v>
      </c>
      <c r="I31" s="5">
        <v>28</v>
      </c>
      <c r="J31" s="5">
        <v>21</v>
      </c>
      <c r="K31" s="5">
        <v>8</v>
      </c>
      <c r="L31" s="5">
        <v>11</v>
      </c>
      <c r="M31" s="9">
        <v>0</v>
      </c>
    </row>
    <row r="32" spans="1:23" x14ac:dyDescent="0.35">
      <c r="A32" s="11" t="s">
        <v>38</v>
      </c>
      <c r="B32" s="12">
        <f t="shared" ref="B32:M32" si="8">B4+B22+B26+B29</f>
        <v>1030</v>
      </c>
      <c r="C32" s="12">
        <f t="shared" si="8"/>
        <v>2021</v>
      </c>
      <c r="D32" s="12">
        <f t="shared" si="8"/>
        <v>584</v>
      </c>
      <c r="E32" s="12">
        <f t="shared" si="8"/>
        <v>299</v>
      </c>
      <c r="F32" s="12">
        <f t="shared" si="8"/>
        <v>52</v>
      </c>
      <c r="G32" s="12">
        <f t="shared" si="8"/>
        <v>94</v>
      </c>
      <c r="H32" s="12">
        <f t="shared" si="8"/>
        <v>1</v>
      </c>
      <c r="I32" s="12">
        <f t="shared" si="8"/>
        <v>1156</v>
      </c>
      <c r="J32" s="12">
        <f t="shared" si="8"/>
        <v>609</v>
      </c>
      <c r="K32" s="12">
        <f t="shared" si="8"/>
        <v>110</v>
      </c>
      <c r="L32" s="12">
        <f t="shared" si="8"/>
        <v>137</v>
      </c>
      <c r="M32" s="12">
        <f t="shared" si="8"/>
        <v>9</v>
      </c>
    </row>
    <row r="34" spans="1:13" ht="20" x14ac:dyDescent="0.35">
      <c r="A34" s="33" t="s">
        <v>39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spans="1:13" ht="15" customHeight="1" x14ac:dyDescent="0.35">
      <c r="A35" s="34" t="s">
        <v>40</v>
      </c>
      <c r="B35" s="40" t="s">
        <v>6</v>
      </c>
      <c r="C35" s="40"/>
      <c r="D35" s="40" t="s">
        <v>7</v>
      </c>
      <c r="E35" s="40"/>
      <c r="F35" s="40" t="s">
        <v>8</v>
      </c>
      <c r="G35" s="40"/>
      <c r="H35" s="40" t="s">
        <v>9</v>
      </c>
      <c r="I35" s="40"/>
      <c r="J35" s="40" t="s">
        <v>41</v>
      </c>
      <c r="K35" s="40"/>
      <c r="L35" s="40" t="s">
        <v>42</v>
      </c>
      <c r="M35" s="40" t="s">
        <v>43</v>
      </c>
    </row>
    <row r="36" spans="1:13" x14ac:dyDescent="0.35">
      <c r="A36" s="34"/>
      <c r="B36" s="13" t="s">
        <v>44</v>
      </c>
      <c r="C36" s="13" t="s">
        <v>45</v>
      </c>
      <c r="D36" s="13" t="s">
        <v>44</v>
      </c>
      <c r="E36" s="13" t="s">
        <v>45</v>
      </c>
      <c r="F36" s="13" t="s">
        <v>44</v>
      </c>
      <c r="G36" s="13" t="s">
        <v>45</v>
      </c>
      <c r="H36" s="13" t="s">
        <v>44</v>
      </c>
      <c r="I36" s="13" t="s">
        <v>45</v>
      </c>
      <c r="J36" s="13" t="s">
        <v>44</v>
      </c>
      <c r="K36" s="13" t="s">
        <v>45</v>
      </c>
      <c r="L36" s="40"/>
      <c r="M36" s="40"/>
    </row>
    <row r="37" spans="1:13" x14ac:dyDescent="0.35">
      <c r="A37" s="14" t="s">
        <v>46</v>
      </c>
      <c r="B37" s="14">
        <v>517</v>
      </c>
      <c r="C37" s="14">
        <v>1131</v>
      </c>
      <c r="D37" s="14">
        <v>266</v>
      </c>
      <c r="E37" s="14">
        <v>629</v>
      </c>
      <c r="F37" s="14">
        <v>45</v>
      </c>
      <c r="G37" s="14">
        <v>93</v>
      </c>
      <c r="H37" s="14">
        <v>95</v>
      </c>
      <c r="I37" s="14">
        <v>159</v>
      </c>
      <c r="J37" s="14">
        <v>1</v>
      </c>
      <c r="K37" s="14">
        <v>9</v>
      </c>
      <c r="L37" s="15">
        <f>B37+D37+F37+H37+J37</f>
        <v>924</v>
      </c>
      <c r="M37" s="15">
        <f>C37+E37+G37+I37+K37</f>
        <v>2021</v>
      </c>
    </row>
    <row r="38" spans="1:13" x14ac:dyDescent="0.35">
      <c r="A38" s="16" t="s">
        <v>48</v>
      </c>
      <c r="B38" s="17">
        <f t="shared" ref="B38:M38" si="9">SUM(B37:B37)</f>
        <v>517</v>
      </c>
      <c r="C38" s="17">
        <f t="shared" si="9"/>
        <v>1131</v>
      </c>
      <c r="D38" s="17">
        <f t="shared" si="9"/>
        <v>266</v>
      </c>
      <c r="E38" s="17">
        <f t="shared" si="9"/>
        <v>629</v>
      </c>
      <c r="F38" s="17">
        <f t="shared" si="9"/>
        <v>45</v>
      </c>
      <c r="G38" s="17">
        <f t="shared" si="9"/>
        <v>93</v>
      </c>
      <c r="H38" s="17">
        <f t="shared" si="9"/>
        <v>95</v>
      </c>
      <c r="I38" s="17">
        <f t="shared" si="9"/>
        <v>159</v>
      </c>
      <c r="J38" s="17">
        <f t="shared" si="9"/>
        <v>1</v>
      </c>
      <c r="K38" s="17">
        <f t="shared" si="9"/>
        <v>9</v>
      </c>
      <c r="L38" s="17">
        <f t="shared" si="9"/>
        <v>924</v>
      </c>
      <c r="M38" s="17">
        <f t="shared" si="9"/>
        <v>2021</v>
      </c>
    </row>
  </sheetData>
  <mergeCells count="15">
    <mergeCell ref="A1:M1"/>
    <mergeCell ref="A2:A3"/>
    <mergeCell ref="B2:B3"/>
    <mergeCell ref="C2:C3"/>
    <mergeCell ref="D2:H2"/>
    <mergeCell ref="I2:M2"/>
    <mergeCell ref="A34:M34"/>
    <mergeCell ref="A35:A36"/>
    <mergeCell ref="B35:C35"/>
    <mergeCell ref="D35:E35"/>
    <mergeCell ref="F35:G35"/>
    <mergeCell ref="H35:I35"/>
    <mergeCell ref="J35:K35"/>
    <mergeCell ref="L35:L36"/>
    <mergeCell ref="M35:M36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zoomScale="80" zoomScaleNormal="80" workbookViewId="0">
      <pane ySplit="3" topLeftCell="A31" activePane="bottomLeft" state="frozen"/>
      <selection pane="bottomLeft" activeCell="G47" sqref="G47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8" width="10.54296875" customWidth="1"/>
    <col min="9" max="9" width="7.7265625" customWidth="1"/>
    <col min="10" max="10" width="9.7265625" customWidth="1"/>
    <col min="11" max="11" width="8.81640625" customWidth="1"/>
    <col min="12" max="12" width="9.81640625" customWidth="1"/>
    <col min="13" max="13" width="9.54296875" customWidth="1"/>
    <col min="1024" max="1024" width="11.54296875" customWidth="1"/>
  </cols>
  <sheetData>
    <row r="1" spans="1:23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3" ht="15" customHeight="1" x14ac:dyDescent="0.35">
      <c r="A2" s="36" t="s">
        <v>1</v>
      </c>
      <c r="B2" s="37" t="s">
        <v>63</v>
      </c>
      <c r="C2" s="38" t="s">
        <v>64</v>
      </c>
      <c r="D2" s="39" t="s">
        <v>4</v>
      </c>
      <c r="E2" s="39"/>
      <c r="F2" s="39"/>
      <c r="G2" s="39"/>
      <c r="H2" s="39"/>
      <c r="I2" s="39" t="s">
        <v>5</v>
      </c>
      <c r="J2" s="39"/>
      <c r="K2" s="39"/>
      <c r="L2" s="39"/>
      <c r="M2" s="39"/>
    </row>
    <row r="3" spans="1:23" ht="33.15" customHeight="1" x14ac:dyDescent="0.35">
      <c r="A3" s="36"/>
      <c r="B3" s="37"/>
      <c r="C3" s="38"/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23" x14ac:dyDescent="0.35">
      <c r="A4" s="3">
        <v>3792</v>
      </c>
      <c r="B4" s="3">
        <f t="shared" ref="B4:B28" si="0">SUM(D4:H4)</f>
        <v>815</v>
      </c>
      <c r="C4" s="3">
        <f t="shared" ref="C4:C28" si="1">SUM(I4:M4)</f>
        <v>1571</v>
      </c>
      <c r="D4" s="3">
        <f t="shared" ref="D4:M4" si="2">SUM(D5:D28)</f>
        <v>472</v>
      </c>
      <c r="E4" s="3">
        <f t="shared" si="2"/>
        <v>246</v>
      </c>
      <c r="F4" s="3">
        <f t="shared" si="2"/>
        <v>43</v>
      </c>
      <c r="G4" s="3">
        <f t="shared" si="2"/>
        <v>45</v>
      </c>
      <c r="H4" s="3">
        <f t="shared" si="2"/>
        <v>9</v>
      </c>
      <c r="I4" s="3">
        <f t="shared" si="2"/>
        <v>872</v>
      </c>
      <c r="J4" s="3">
        <f t="shared" si="2"/>
        <v>540</v>
      </c>
      <c r="K4" s="3">
        <f t="shared" si="2"/>
        <v>73</v>
      </c>
      <c r="L4" s="3">
        <f t="shared" si="2"/>
        <v>66</v>
      </c>
      <c r="M4" s="3">
        <f t="shared" si="2"/>
        <v>20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5" t="s">
        <v>65</v>
      </c>
      <c r="B5" s="6">
        <f t="shared" si="0"/>
        <v>20</v>
      </c>
      <c r="C5" s="6">
        <f t="shared" si="1"/>
        <v>21</v>
      </c>
      <c r="D5" s="5">
        <v>11</v>
      </c>
      <c r="E5" s="5">
        <v>4</v>
      </c>
      <c r="F5" s="5">
        <v>2</v>
      </c>
      <c r="G5" s="5">
        <v>3</v>
      </c>
      <c r="H5" s="5">
        <v>0</v>
      </c>
      <c r="I5" s="5">
        <v>11</v>
      </c>
      <c r="J5" s="5">
        <v>4</v>
      </c>
      <c r="K5" s="5">
        <v>2</v>
      </c>
      <c r="L5" s="5">
        <v>4</v>
      </c>
      <c r="M5" s="5">
        <v>0</v>
      </c>
    </row>
    <row r="6" spans="1:23" x14ac:dyDescent="0.35">
      <c r="A6" s="5" t="s">
        <v>51</v>
      </c>
      <c r="B6" s="6">
        <f t="shared" si="0"/>
        <v>4</v>
      </c>
      <c r="C6" s="6">
        <f t="shared" si="1"/>
        <v>11</v>
      </c>
      <c r="D6" s="5">
        <v>1</v>
      </c>
      <c r="E6" s="5">
        <v>0</v>
      </c>
      <c r="F6" s="5">
        <v>0</v>
      </c>
      <c r="G6" s="5">
        <v>0</v>
      </c>
      <c r="H6" s="5">
        <v>3</v>
      </c>
      <c r="I6" s="5">
        <v>1</v>
      </c>
      <c r="J6" s="5">
        <v>0</v>
      </c>
      <c r="K6" s="5">
        <v>0</v>
      </c>
      <c r="L6" s="5">
        <v>0</v>
      </c>
      <c r="M6" s="5">
        <v>10</v>
      </c>
    </row>
    <row r="7" spans="1:23" x14ac:dyDescent="0.35">
      <c r="A7" s="5" t="s">
        <v>11</v>
      </c>
      <c r="B7" s="6">
        <f t="shared" si="0"/>
        <v>2</v>
      </c>
      <c r="C7" s="6">
        <f t="shared" si="1"/>
        <v>3</v>
      </c>
      <c r="D7" s="5">
        <v>0</v>
      </c>
      <c r="E7" s="5">
        <v>0</v>
      </c>
      <c r="F7" s="5">
        <v>0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1</v>
      </c>
      <c r="M7" s="5">
        <v>2</v>
      </c>
    </row>
    <row r="8" spans="1:23" x14ac:dyDescent="0.35">
      <c r="A8" s="5" t="s">
        <v>12</v>
      </c>
      <c r="B8" s="6">
        <f t="shared" si="0"/>
        <v>1</v>
      </c>
      <c r="C8" s="6">
        <f t="shared" si="1"/>
        <v>1</v>
      </c>
      <c r="D8" s="5">
        <v>0</v>
      </c>
      <c r="E8" s="5">
        <v>0</v>
      </c>
      <c r="F8" s="5">
        <v>0</v>
      </c>
      <c r="G8" s="5">
        <v>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1</v>
      </c>
    </row>
    <row r="9" spans="1:23" x14ac:dyDescent="0.35">
      <c r="A9" s="5" t="s">
        <v>52</v>
      </c>
      <c r="B9" s="6">
        <f t="shared" si="0"/>
        <v>1</v>
      </c>
      <c r="C9" s="6">
        <f t="shared" si="1"/>
        <v>1</v>
      </c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</row>
    <row r="10" spans="1:23" x14ac:dyDescent="0.35">
      <c r="A10" s="5" t="s">
        <v>13</v>
      </c>
      <c r="B10" s="6">
        <f t="shared" si="0"/>
        <v>39</v>
      </c>
      <c r="C10" s="6">
        <f t="shared" si="1"/>
        <v>70</v>
      </c>
      <c r="D10" s="5">
        <v>18</v>
      </c>
      <c r="E10" s="5">
        <v>19</v>
      </c>
      <c r="F10" s="5">
        <v>1</v>
      </c>
      <c r="G10" s="5">
        <v>1</v>
      </c>
      <c r="H10" s="5">
        <v>0</v>
      </c>
      <c r="I10" s="5">
        <v>30</v>
      </c>
      <c r="J10" s="5">
        <v>37</v>
      </c>
      <c r="K10" s="5">
        <v>2</v>
      </c>
      <c r="L10" s="5">
        <v>1</v>
      </c>
      <c r="M10" s="5">
        <v>0</v>
      </c>
    </row>
    <row r="11" spans="1:23" x14ac:dyDescent="0.35">
      <c r="A11" s="5" t="s">
        <v>15</v>
      </c>
      <c r="B11" s="6">
        <f t="shared" si="0"/>
        <v>75</v>
      </c>
      <c r="C11" s="6">
        <f t="shared" si="1"/>
        <v>165</v>
      </c>
      <c r="D11" s="5">
        <v>44</v>
      </c>
      <c r="E11" s="5">
        <v>29</v>
      </c>
      <c r="F11" s="5">
        <v>1</v>
      </c>
      <c r="G11" s="5">
        <v>1</v>
      </c>
      <c r="H11" s="5">
        <v>0</v>
      </c>
      <c r="I11" s="5">
        <v>99</v>
      </c>
      <c r="J11" s="5">
        <v>64</v>
      </c>
      <c r="K11" s="5">
        <v>1</v>
      </c>
      <c r="L11" s="5">
        <v>1</v>
      </c>
      <c r="M11" s="5">
        <v>0</v>
      </c>
    </row>
    <row r="12" spans="1:23" x14ac:dyDescent="0.35">
      <c r="A12" s="5" t="s">
        <v>16</v>
      </c>
      <c r="B12" s="6">
        <f t="shared" si="0"/>
        <v>8</v>
      </c>
      <c r="C12" s="6">
        <f t="shared" si="1"/>
        <v>11</v>
      </c>
      <c r="D12" s="5">
        <v>4</v>
      </c>
      <c r="E12" s="5">
        <v>3</v>
      </c>
      <c r="F12" s="5">
        <v>0</v>
      </c>
      <c r="G12" s="5">
        <v>1</v>
      </c>
      <c r="H12" s="5">
        <v>0</v>
      </c>
      <c r="I12" s="5">
        <v>7</v>
      </c>
      <c r="J12" s="5">
        <v>3</v>
      </c>
      <c r="K12" s="5">
        <v>0</v>
      </c>
      <c r="L12" s="5">
        <v>1</v>
      </c>
      <c r="M12" s="5">
        <v>0</v>
      </c>
    </row>
    <row r="13" spans="1:23" x14ac:dyDescent="0.35">
      <c r="A13" s="5" t="s">
        <v>17</v>
      </c>
      <c r="B13" s="6">
        <f t="shared" si="0"/>
        <v>14</v>
      </c>
      <c r="C13" s="6">
        <f t="shared" si="1"/>
        <v>38</v>
      </c>
      <c r="D13" s="5">
        <v>12</v>
      </c>
      <c r="E13" s="5">
        <v>1</v>
      </c>
      <c r="F13" s="5">
        <v>1</v>
      </c>
      <c r="G13" s="5">
        <v>0</v>
      </c>
      <c r="H13" s="5">
        <v>0</v>
      </c>
      <c r="I13" s="5">
        <v>34</v>
      </c>
      <c r="J13" s="5">
        <v>2</v>
      </c>
      <c r="K13" s="5">
        <v>2</v>
      </c>
      <c r="L13" s="5">
        <v>0</v>
      </c>
      <c r="M13" s="5">
        <v>0</v>
      </c>
    </row>
    <row r="14" spans="1:23" x14ac:dyDescent="0.35">
      <c r="A14" s="5" t="s">
        <v>66</v>
      </c>
      <c r="B14" s="6">
        <f t="shared" si="0"/>
        <v>1</v>
      </c>
      <c r="C14" s="6">
        <f t="shared" si="1"/>
        <v>2</v>
      </c>
      <c r="D14" s="5">
        <v>0</v>
      </c>
      <c r="E14" s="5">
        <v>0</v>
      </c>
      <c r="F14" s="5">
        <v>0</v>
      </c>
      <c r="G14" s="5">
        <v>0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2</v>
      </c>
    </row>
    <row r="15" spans="1:23" x14ac:dyDescent="0.35">
      <c r="A15" s="5" t="s">
        <v>19</v>
      </c>
      <c r="B15" s="6">
        <f t="shared" si="0"/>
        <v>7</v>
      </c>
      <c r="C15" s="6">
        <f t="shared" si="1"/>
        <v>11</v>
      </c>
      <c r="D15" s="5">
        <v>1</v>
      </c>
      <c r="E15" s="5">
        <v>5</v>
      </c>
      <c r="F15" s="5">
        <v>0</v>
      </c>
      <c r="G15" s="5">
        <v>1</v>
      </c>
      <c r="H15" s="5">
        <v>0</v>
      </c>
      <c r="I15" s="5">
        <v>1</v>
      </c>
      <c r="J15" s="5">
        <v>9</v>
      </c>
      <c r="K15" s="5">
        <v>0</v>
      </c>
      <c r="L15" s="5">
        <v>1</v>
      </c>
      <c r="M15" s="5">
        <v>0</v>
      </c>
    </row>
    <row r="16" spans="1:23" x14ac:dyDescent="0.35">
      <c r="A16" s="5" t="s">
        <v>59</v>
      </c>
      <c r="B16" s="6">
        <f t="shared" si="0"/>
        <v>3</v>
      </c>
      <c r="C16" s="6">
        <f t="shared" si="1"/>
        <v>4</v>
      </c>
      <c r="D16" s="5">
        <v>0</v>
      </c>
      <c r="E16" s="5">
        <v>0</v>
      </c>
      <c r="F16" s="5">
        <v>0</v>
      </c>
      <c r="G16" s="5">
        <v>1</v>
      </c>
      <c r="H16" s="5">
        <v>2</v>
      </c>
      <c r="I16" s="5">
        <v>0</v>
      </c>
      <c r="J16" s="5">
        <v>0</v>
      </c>
      <c r="K16" s="5">
        <v>0</v>
      </c>
      <c r="L16" s="5">
        <v>1</v>
      </c>
      <c r="M16" s="5">
        <v>3</v>
      </c>
    </row>
    <row r="17" spans="1:23" x14ac:dyDescent="0.35">
      <c r="A17" s="5" t="s">
        <v>20</v>
      </c>
      <c r="B17" s="6">
        <f t="shared" si="0"/>
        <v>1</v>
      </c>
      <c r="C17" s="6">
        <f t="shared" si="1"/>
        <v>2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2</v>
      </c>
    </row>
    <row r="18" spans="1:23" x14ac:dyDescent="0.35">
      <c r="A18" s="5" t="s">
        <v>67</v>
      </c>
      <c r="B18" s="6">
        <f t="shared" si="0"/>
        <v>59</v>
      </c>
      <c r="C18" s="6">
        <f t="shared" si="1"/>
        <v>60</v>
      </c>
      <c r="D18" s="5">
        <v>34</v>
      </c>
      <c r="E18" s="5">
        <v>18</v>
      </c>
      <c r="F18" s="5">
        <v>3</v>
      </c>
      <c r="G18" s="5">
        <v>4</v>
      </c>
      <c r="H18" s="5">
        <v>0</v>
      </c>
      <c r="I18" s="5">
        <v>35</v>
      </c>
      <c r="J18" s="5">
        <v>18</v>
      </c>
      <c r="K18" s="5">
        <v>3</v>
      </c>
      <c r="L18" s="5">
        <v>4</v>
      </c>
      <c r="M18" s="5">
        <v>0</v>
      </c>
    </row>
    <row r="19" spans="1:23" x14ac:dyDescent="0.35">
      <c r="A19" s="5" t="s">
        <v>21</v>
      </c>
      <c r="B19" s="6">
        <f t="shared" si="0"/>
        <v>95</v>
      </c>
      <c r="C19" s="6">
        <f t="shared" si="1"/>
        <v>240</v>
      </c>
      <c r="D19" s="5">
        <v>47</v>
      </c>
      <c r="E19" s="5">
        <v>35</v>
      </c>
      <c r="F19" s="5">
        <v>6</v>
      </c>
      <c r="G19" s="5">
        <v>7</v>
      </c>
      <c r="H19" s="5">
        <v>0</v>
      </c>
      <c r="I19" s="5">
        <v>115</v>
      </c>
      <c r="J19" s="5">
        <v>99</v>
      </c>
      <c r="K19" s="5">
        <v>16</v>
      </c>
      <c r="L19" s="5">
        <v>10</v>
      </c>
      <c r="M19" s="5">
        <v>0</v>
      </c>
    </row>
    <row r="20" spans="1:23" x14ac:dyDescent="0.35">
      <c r="A20" s="5" t="s">
        <v>22</v>
      </c>
      <c r="B20" s="6">
        <f t="shared" si="0"/>
        <v>37</v>
      </c>
      <c r="C20" s="6">
        <f t="shared" si="1"/>
        <v>67</v>
      </c>
      <c r="D20" s="5">
        <v>23</v>
      </c>
      <c r="E20" s="5">
        <v>12</v>
      </c>
      <c r="F20" s="5">
        <v>2</v>
      </c>
      <c r="G20" s="5">
        <v>0</v>
      </c>
      <c r="H20" s="5">
        <v>0</v>
      </c>
      <c r="I20" s="5">
        <v>36</v>
      </c>
      <c r="J20" s="5">
        <v>27</v>
      </c>
      <c r="K20" s="5">
        <v>4</v>
      </c>
      <c r="L20" s="5">
        <v>0</v>
      </c>
      <c r="M20" s="5">
        <v>0</v>
      </c>
    </row>
    <row r="21" spans="1:23" x14ac:dyDescent="0.35">
      <c r="A21" s="5" t="s">
        <v>23</v>
      </c>
      <c r="B21" s="6">
        <f t="shared" si="0"/>
        <v>110</v>
      </c>
      <c r="C21" s="6">
        <f t="shared" si="1"/>
        <v>207</v>
      </c>
      <c r="D21" s="5">
        <v>67</v>
      </c>
      <c r="E21" s="5">
        <v>31</v>
      </c>
      <c r="F21" s="5">
        <v>8</v>
      </c>
      <c r="G21" s="5">
        <v>4</v>
      </c>
      <c r="H21" s="5">
        <v>0</v>
      </c>
      <c r="I21" s="5">
        <v>118</v>
      </c>
      <c r="J21" s="5">
        <v>73</v>
      </c>
      <c r="K21" s="5">
        <v>12</v>
      </c>
      <c r="L21" s="5">
        <v>4</v>
      </c>
      <c r="M21" s="5">
        <v>0</v>
      </c>
    </row>
    <row r="22" spans="1:23" x14ac:dyDescent="0.35">
      <c r="A22" s="5" t="s">
        <v>24</v>
      </c>
      <c r="B22" s="6">
        <f t="shared" si="0"/>
        <v>15</v>
      </c>
      <c r="C22" s="6">
        <f t="shared" si="1"/>
        <v>25</v>
      </c>
      <c r="D22" s="5">
        <v>8</v>
      </c>
      <c r="E22" s="5">
        <v>5</v>
      </c>
      <c r="F22" s="5">
        <v>1</v>
      </c>
      <c r="G22" s="5">
        <v>1</v>
      </c>
      <c r="H22" s="5">
        <v>0</v>
      </c>
      <c r="I22" s="5">
        <v>13</v>
      </c>
      <c r="J22" s="5">
        <v>7</v>
      </c>
      <c r="K22" s="5">
        <v>3</v>
      </c>
      <c r="L22" s="5">
        <v>2</v>
      </c>
      <c r="M22" s="5">
        <v>0</v>
      </c>
    </row>
    <row r="23" spans="1:23" x14ac:dyDescent="0.35">
      <c r="A23" s="5" t="s">
        <v>25</v>
      </c>
      <c r="B23" s="6">
        <f t="shared" si="0"/>
        <v>71</v>
      </c>
      <c r="C23" s="6">
        <f t="shared" si="1"/>
        <v>155</v>
      </c>
      <c r="D23" s="5">
        <v>44</v>
      </c>
      <c r="E23" s="5">
        <v>18</v>
      </c>
      <c r="F23" s="5">
        <v>3</v>
      </c>
      <c r="G23" s="5">
        <v>6</v>
      </c>
      <c r="H23" s="5">
        <v>0</v>
      </c>
      <c r="I23" s="5">
        <v>82</v>
      </c>
      <c r="J23" s="5">
        <v>56</v>
      </c>
      <c r="K23" s="5">
        <v>3</v>
      </c>
      <c r="L23" s="5">
        <v>14</v>
      </c>
      <c r="M23" s="5">
        <v>0</v>
      </c>
    </row>
    <row r="24" spans="1:23" x14ac:dyDescent="0.35">
      <c r="A24" s="5" t="s">
        <v>26</v>
      </c>
      <c r="B24" s="6">
        <f t="shared" si="0"/>
        <v>52</v>
      </c>
      <c r="C24" s="6">
        <f t="shared" si="1"/>
        <v>100</v>
      </c>
      <c r="D24" s="5">
        <v>30</v>
      </c>
      <c r="E24" s="5">
        <v>20</v>
      </c>
      <c r="F24" s="5">
        <v>0</v>
      </c>
      <c r="G24" s="5">
        <v>2</v>
      </c>
      <c r="H24" s="5">
        <v>0</v>
      </c>
      <c r="I24" s="5">
        <v>51</v>
      </c>
      <c r="J24" s="5">
        <v>47</v>
      </c>
      <c r="K24" s="5">
        <v>0</v>
      </c>
      <c r="L24" s="5">
        <v>2</v>
      </c>
      <c r="M24" s="5">
        <v>0</v>
      </c>
    </row>
    <row r="25" spans="1:23" x14ac:dyDescent="0.35">
      <c r="A25" s="5" t="s">
        <v>27</v>
      </c>
      <c r="B25" s="6">
        <f t="shared" si="0"/>
        <v>32</v>
      </c>
      <c r="C25" s="6">
        <f t="shared" si="1"/>
        <v>60</v>
      </c>
      <c r="D25" s="5">
        <v>14</v>
      </c>
      <c r="E25" s="5">
        <v>12</v>
      </c>
      <c r="F25" s="5">
        <v>5</v>
      </c>
      <c r="G25" s="5">
        <v>1</v>
      </c>
      <c r="H25" s="5">
        <v>0</v>
      </c>
      <c r="I25" s="5">
        <v>22</v>
      </c>
      <c r="J25" s="5">
        <v>26</v>
      </c>
      <c r="K25" s="5">
        <v>9</v>
      </c>
      <c r="L25" s="5">
        <v>3</v>
      </c>
      <c r="M25" s="5">
        <v>0</v>
      </c>
    </row>
    <row r="26" spans="1:23" x14ac:dyDescent="0.35">
      <c r="A26" s="5" t="s">
        <v>28</v>
      </c>
      <c r="B26" s="6">
        <f t="shared" si="0"/>
        <v>88</v>
      </c>
      <c r="C26" s="6">
        <f t="shared" si="1"/>
        <v>182</v>
      </c>
      <c r="D26" s="5">
        <v>63</v>
      </c>
      <c r="E26" s="5">
        <v>18</v>
      </c>
      <c r="F26" s="5">
        <v>2</v>
      </c>
      <c r="G26" s="5">
        <v>5</v>
      </c>
      <c r="H26" s="5">
        <v>0</v>
      </c>
      <c r="I26" s="5">
        <v>132</v>
      </c>
      <c r="J26" s="5">
        <v>38</v>
      </c>
      <c r="K26" s="5">
        <v>3</v>
      </c>
      <c r="L26" s="5">
        <v>9</v>
      </c>
      <c r="M26" s="5">
        <v>0</v>
      </c>
    </row>
    <row r="27" spans="1:23" x14ac:dyDescent="0.35">
      <c r="A27" s="5" t="s">
        <v>29</v>
      </c>
      <c r="B27" s="6">
        <f t="shared" si="0"/>
        <v>16</v>
      </c>
      <c r="C27" s="6">
        <f t="shared" si="1"/>
        <v>25</v>
      </c>
      <c r="D27" s="5">
        <v>9</v>
      </c>
      <c r="E27" s="5">
        <v>3</v>
      </c>
      <c r="F27" s="5">
        <v>2</v>
      </c>
      <c r="G27" s="5">
        <v>2</v>
      </c>
      <c r="H27" s="5">
        <v>0</v>
      </c>
      <c r="I27" s="5">
        <v>15</v>
      </c>
      <c r="J27" s="5">
        <v>4</v>
      </c>
      <c r="K27" s="5">
        <v>3</v>
      </c>
      <c r="L27" s="5">
        <v>3</v>
      </c>
      <c r="M27" s="5">
        <v>0</v>
      </c>
    </row>
    <row r="28" spans="1:23" x14ac:dyDescent="0.35">
      <c r="A28" s="5" t="s">
        <v>30</v>
      </c>
      <c r="B28" s="6">
        <f t="shared" si="0"/>
        <v>64</v>
      </c>
      <c r="C28" s="6">
        <f t="shared" si="1"/>
        <v>110</v>
      </c>
      <c r="D28" s="5">
        <v>42</v>
      </c>
      <c r="E28" s="5">
        <v>13</v>
      </c>
      <c r="F28" s="5">
        <v>6</v>
      </c>
      <c r="G28" s="5">
        <v>3</v>
      </c>
      <c r="H28" s="5">
        <v>0</v>
      </c>
      <c r="I28" s="5">
        <v>70</v>
      </c>
      <c r="J28" s="5">
        <v>26</v>
      </c>
      <c r="K28" s="5">
        <v>10</v>
      </c>
      <c r="L28" s="5">
        <v>4</v>
      </c>
      <c r="M28" s="5">
        <v>0</v>
      </c>
    </row>
    <row r="29" spans="1:23" x14ac:dyDescent="0.35">
      <c r="A29" s="18">
        <v>3794</v>
      </c>
      <c r="B29" s="8">
        <f t="shared" ref="B29:M29" si="3">SUM(B30:B32)</f>
        <v>156</v>
      </c>
      <c r="C29" s="8">
        <f t="shared" si="3"/>
        <v>303</v>
      </c>
      <c r="D29" s="8">
        <f t="shared" si="3"/>
        <v>97</v>
      </c>
      <c r="E29" s="8">
        <f t="shared" si="3"/>
        <v>31</v>
      </c>
      <c r="F29" s="8">
        <f t="shared" si="3"/>
        <v>2</v>
      </c>
      <c r="G29" s="8">
        <f t="shared" si="3"/>
        <v>26</v>
      </c>
      <c r="H29" s="8">
        <f t="shared" si="3"/>
        <v>0</v>
      </c>
      <c r="I29" s="8">
        <f t="shared" si="3"/>
        <v>199</v>
      </c>
      <c r="J29" s="8">
        <f t="shared" si="3"/>
        <v>60</v>
      </c>
      <c r="K29" s="8">
        <f t="shared" si="3"/>
        <v>3</v>
      </c>
      <c r="L29" s="8">
        <f t="shared" si="3"/>
        <v>41</v>
      </c>
      <c r="M29" s="8">
        <f t="shared" si="3"/>
        <v>0</v>
      </c>
    </row>
    <row r="30" spans="1:23" x14ac:dyDescent="0.35">
      <c r="A30" s="5" t="s">
        <v>31</v>
      </c>
      <c r="B30" s="9">
        <f t="shared" ref="B30:B38" si="4">SUM(D30:H30)</f>
        <v>51</v>
      </c>
      <c r="C30" s="9">
        <f t="shared" ref="C30:C38" si="5">SUM(I30:M30)</f>
        <v>103</v>
      </c>
      <c r="D30" s="5">
        <v>38</v>
      </c>
      <c r="E30" s="5">
        <v>10</v>
      </c>
      <c r="F30" s="5">
        <v>0</v>
      </c>
      <c r="G30" s="5">
        <v>3</v>
      </c>
      <c r="H30" s="9">
        <v>0</v>
      </c>
      <c r="I30" s="5">
        <v>82</v>
      </c>
      <c r="J30" s="5">
        <v>16</v>
      </c>
      <c r="K30" s="5">
        <v>0</v>
      </c>
      <c r="L30" s="5">
        <v>5</v>
      </c>
      <c r="M30" s="9">
        <v>0</v>
      </c>
    </row>
    <row r="31" spans="1:23" x14ac:dyDescent="0.35">
      <c r="A31" s="5" t="s">
        <v>32</v>
      </c>
      <c r="B31" s="9">
        <f t="shared" si="4"/>
        <v>35</v>
      </c>
      <c r="C31" s="9">
        <f t="shared" si="5"/>
        <v>70</v>
      </c>
      <c r="D31" s="5">
        <v>22</v>
      </c>
      <c r="E31" s="5">
        <v>8</v>
      </c>
      <c r="F31" s="5">
        <v>1</v>
      </c>
      <c r="G31" s="5">
        <v>4</v>
      </c>
      <c r="H31" s="9">
        <v>0</v>
      </c>
      <c r="I31" s="5">
        <v>45</v>
      </c>
      <c r="J31" s="5">
        <v>18</v>
      </c>
      <c r="K31" s="5">
        <v>1</v>
      </c>
      <c r="L31" s="5">
        <v>6</v>
      </c>
      <c r="M31" s="9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35">
      <c r="A32" s="5" t="s">
        <v>33</v>
      </c>
      <c r="B32" s="9">
        <f t="shared" si="4"/>
        <v>70</v>
      </c>
      <c r="C32" s="9">
        <f t="shared" si="5"/>
        <v>130</v>
      </c>
      <c r="D32" s="5">
        <v>37</v>
      </c>
      <c r="E32" s="5">
        <v>13</v>
      </c>
      <c r="F32" s="5">
        <v>1</v>
      </c>
      <c r="G32" s="5">
        <v>19</v>
      </c>
      <c r="H32" s="9">
        <v>0</v>
      </c>
      <c r="I32" s="5">
        <v>72</v>
      </c>
      <c r="J32" s="5">
        <v>26</v>
      </c>
      <c r="K32" s="5">
        <v>2</v>
      </c>
      <c r="L32" s="5">
        <v>30</v>
      </c>
      <c r="M32" s="9">
        <v>0</v>
      </c>
    </row>
    <row r="33" spans="1:23" x14ac:dyDescent="0.35">
      <c r="A33" s="18">
        <v>3795</v>
      </c>
      <c r="B33" s="8">
        <f t="shared" si="4"/>
        <v>91</v>
      </c>
      <c r="C33" s="8">
        <f t="shared" si="5"/>
        <v>195</v>
      </c>
      <c r="D33" s="8">
        <f t="shared" ref="D33:M33" si="6">SUM(D34:D35)</f>
        <v>40</v>
      </c>
      <c r="E33" s="8">
        <f t="shared" si="6"/>
        <v>13</v>
      </c>
      <c r="F33" s="8">
        <f t="shared" si="6"/>
        <v>15</v>
      </c>
      <c r="G33" s="8">
        <f t="shared" si="6"/>
        <v>23</v>
      </c>
      <c r="H33" s="8">
        <f t="shared" si="6"/>
        <v>0</v>
      </c>
      <c r="I33" s="8">
        <f t="shared" si="6"/>
        <v>100</v>
      </c>
      <c r="J33" s="8">
        <f t="shared" si="6"/>
        <v>20</v>
      </c>
      <c r="K33" s="8">
        <f t="shared" si="6"/>
        <v>37</v>
      </c>
      <c r="L33" s="8">
        <f t="shared" si="6"/>
        <v>38</v>
      </c>
      <c r="M33" s="8">
        <f t="shared" si="6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5">
      <c r="A34" s="5" t="s">
        <v>34</v>
      </c>
      <c r="B34" s="9">
        <f t="shared" si="4"/>
        <v>24</v>
      </c>
      <c r="C34" s="9">
        <f t="shared" si="5"/>
        <v>51</v>
      </c>
      <c r="D34" s="5">
        <v>10</v>
      </c>
      <c r="E34" s="5">
        <v>3</v>
      </c>
      <c r="F34" s="5">
        <v>4</v>
      </c>
      <c r="G34" s="5">
        <v>7</v>
      </c>
      <c r="H34" s="9">
        <v>0</v>
      </c>
      <c r="I34" s="5">
        <v>27</v>
      </c>
      <c r="J34" s="5">
        <v>3</v>
      </c>
      <c r="K34" s="5">
        <v>8</v>
      </c>
      <c r="L34" s="5">
        <v>13</v>
      </c>
      <c r="M34" s="9">
        <v>0</v>
      </c>
    </row>
    <row r="35" spans="1:23" x14ac:dyDescent="0.35">
      <c r="A35" s="5" t="s">
        <v>35</v>
      </c>
      <c r="B35" s="9">
        <f t="shared" si="4"/>
        <v>67</v>
      </c>
      <c r="C35" s="9">
        <f t="shared" si="5"/>
        <v>144</v>
      </c>
      <c r="D35" s="5">
        <v>30</v>
      </c>
      <c r="E35" s="5">
        <v>10</v>
      </c>
      <c r="F35" s="5">
        <v>11</v>
      </c>
      <c r="G35" s="5">
        <v>16</v>
      </c>
      <c r="H35" s="9">
        <v>0</v>
      </c>
      <c r="I35" s="5">
        <v>73</v>
      </c>
      <c r="J35" s="5">
        <v>17</v>
      </c>
      <c r="K35" s="5">
        <v>29</v>
      </c>
      <c r="L35" s="5">
        <v>25</v>
      </c>
      <c r="M35" s="9">
        <v>0</v>
      </c>
    </row>
    <row r="36" spans="1:23" x14ac:dyDescent="0.35">
      <c r="A36" s="18">
        <v>3791</v>
      </c>
      <c r="B36" s="8">
        <f t="shared" si="4"/>
        <v>91</v>
      </c>
      <c r="C36" s="8">
        <f t="shared" si="5"/>
        <v>147</v>
      </c>
      <c r="D36" s="8">
        <f t="shared" ref="D36:M36" si="7">SUM(D37:D38)</f>
        <v>45</v>
      </c>
      <c r="E36" s="8">
        <f t="shared" si="7"/>
        <v>36</v>
      </c>
      <c r="F36" s="8">
        <f t="shared" si="7"/>
        <v>3</v>
      </c>
      <c r="G36" s="8">
        <f t="shared" si="7"/>
        <v>7</v>
      </c>
      <c r="H36" s="8">
        <f t="shared" si="7"/>
        <v>0</v>
      </c>
      <c r="I36" s="8">
        <f t="shared" si="7"/>
        <v>71</v>
      </c>
      <c r="J36" s="8">
        <f t="shared" si="7"/>
        <v>56</v>
      </c>
      <c r="K36" s="8">
        <f t="shared" si="7"/>
        <v>10</v>
      </c>
      <c r="L36" s="8">
        <f t="shared" si="7"/>
        <v>10</v>
      </c>
      <c r="M36" s="8">
        <f t="shared" si="7"/>
        <v>0</v>
      </c>
    </row>
    <row r="37" spans="1:23" x14ac:dyDescent="0.35">
      <c r="A37" s="5" t="s">
        <v>36</v>
      </c>
      <c r="B37" s="6">
        <f t="shared" si="4"/>
        <v>52</v>
      </c>
      <c r="C37" s="9">
        <f t="shared" si="5"/>
        <v>87</v>
      </c>
      <c r="D37" s="5">
        <v>25</v>
      </c>
      <c r="E37" s="5">
        <v>23</v>
      </c>
      <c r="F37" s="5">
        <v>1</v>
      </c>
      <c r="G37" s="5">
        <v>3</v>
      </c>
      <c r="H37" s="9">
        <v>0</v>
      </c>
      <c r="I37" s="5">
        <v>42</v>
      </c>
      <c r="J37" s="5">
        <v>39</v>
      </c>
      <c r="K37" s="5">
        <v>2</v>
      </c>
      <c r="L37" s="5">
        <v>4</v>
      </c>
      <c r="M37" s="9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35">
      <c r="A38" s="5" t="s">
        <v>37</v>
      </c>
      <c r="B38" s="6">
        <f t="shared" si="4"/>
        <v>39</v>
      </c>
      <c r="C38" s="9">
        <f t="shared" si="5"/>
        <v>60</v>
      </c>
      <c r="D38" s="5">
        <v>20</v>
      </c>
      <c r="E38" s="5">
        <v>13</v>
      </c>
      <c r="F38" s="5">
        <v>2</v>
      </c>
      <c r="G38" s="5">
        <v>4</v>
      </c>
      <c r="H38" s="9">
        <v>0</v>
      </c>
      <c r="I38" s="5">
        <v>29</v>
      </c>
      <c r="J38" s="5">
        <v>17</v>
      </c>
      <c r="K38" s="5">
        <v>8</v>
      </c>
      <c r="L38" s="5">
        <v>6</v>
      </c>
      <c r="M38" s="9">
        <v>0</v>
      </c>
    </row>
    <row r="39" spans="1:23" x14ac:dyDescent="0.35">
      <c r="A39" s="11" t="s">
        <v>38</v>
      </c>
      <c r="B39" s="12">
        <f t="shared" ref="B39:M39" si="8">B4+B29+B33+B36</f>
        <v>1153</v>
      </c>
      <c r="C39" s="12">
        <f t="shared" si="8"/>
        <v>2216</v>
      </c>
      <c r="D39" s="12">
        <f t="shared" si="8"/>
        <v>654</v>
      </c>
      <c r="E39" s="12">
        <f t="shared" si="8"/>
        <v>326</v>
      </c>
      <c r="F39" s="12">
        <f t="shared" si="8"/>
        <v>63</v>
      </c>
      <c r="G39" s="12">
        <f t="shared" si="8"/>
        <v>101</v>
      </c>
      <c r="H39" s="12">
        <f t="shared" si="8"/>
        <v>9</v>
      </c>
      <c r="I39" s="12">
        <f t="shared" si="8"/>
        <v>1242</v>
      </c>
      <c r="J39" s="12">
        <f t="shared" si="8"/>
        <v>676</v>
      </c>
      <c r="K39" s="12">
        <f t="shared" si="8"/>
        <v>123</v>
      </c>
      <c r="L39" s="12">
        <f t="shared" si="8"/>
        <v>155</v>
      </c>
      <c r="M39" s="12">
        <f t="shared" si="8"/>
        <v>20</v>
      </c>
    </row>
    <row r="41" spans="1:23" ht="20" x14ac:dyDescent="0.35">
      <c r="A41" s="33" t="s">
        <v>39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23" ht="15" customHeight="1" x14ac:dyDescent="0.35">
      <c r="A42" s="34" t="s">
        <v>40</v>
      </c>
      <c r="B42" s="40" t="s">
        <v>6</v>
      </c>
      <c r="C42" s="40"/>
      <c r="D42" s="40" t="s">
        <v>7</v>
      </c>
      <c r="E42" s="40"/>
      <c r="F42" s="40" t="s">
        <v>8</v>
      </c>
      <c r="G42" s="40"/>
      <c r="H42" s="40" t="s">
        <v>9</v>
      </c>
      <c r="I42" s="40"/>
      <c r="J42" s="40" t="s">
        <v>41</v>
      </c>
      <c r="K42" s="40"/>
      <c r="L42" s="40" t="s">
        <v>42</v>
      </c>
      <c r="M42" s="40" t="s">
        <v>43</v>
      </c>
    </row>
    <row r="43" spans="1:23" x14ac:dyDescent="0.35">
      <c r="A43" s="34"/>
      <c r="B43" s="13" t="s">
        <v>44</v>
      </c>
      <c r="C43" s="13" t="s">
        <v>45</v>
      </c>
      <c r="D43" s="13" t="s">
        <v>44</v>
      </c>
      <c r="E43" s="13" t="s">
        <v>45</v>
      </c>
      <c r="F43" s="13" t="s">
        <v>44</v>
      </c>
      <c r="G43" s="13" t="s">
        <v>45</v>
      </c>
      <c r="H43" s="13" t="s">
        <v>44</v>
      </c>
      <c r="I43" s="13" t="s">
        <v>45</v>
      </c>
      <c r="J43" s="13" t="s">
        <v>44</v>
      </c>
      <c r="K43" s="13" t="s">
        <v>45</v>
      </c>
      <c r="L43" s="40"/>
      <c r="M43" s="40"/>
    </row>
    <row r="44" spans="1:23" x14ac:dyDescent="0.35">
      <c r="A44" s="14" t="s">
        <v>46</v>
      </c>
      <c r="B44" s="14">
        <v>561</v>
      </c>
      <c r="C44" s="14">
        <v>1205</v>
      </c>
      <c r="D44" s="14">
        <v>274</v>
      </c>
      <c r="E44" s="14">
        <v>659</v>
      </c>
      <c r="F44" s="14">
        <v>58</v>
      </c>
      <c r="G44" s="14">
        <v>123</v>
      </c>
      <c r="H44" s="14">
        <v>90</v>
      </c>
      <c r="I44" s="14">
        <v>148</v>
      </c>
      <c r="J44" s="14">
        <v>7</v>
      </c>
      <c r="K44" s="14">
        <v>18</v>
      </c>
      <c r="L44" s="21">
        <f>B44+D44+F44+H44+J44</f>
        <v>990</v>
      </c>
      <c r="M44" s="21">
        <f>C44+E44+G44+I44+K44</f>
        <v>2153</v>
      </c>
    </row>
    <row r="45" spans="1:23" x14ac:dyDescent="0.35">
      <c r="A45" s="14" t="s">
        <v>47</v>
      </c>
      <c r="B45" s="14">
        <v>37</v>
      </c>
      <c r="C45" s="14">
        <v>38</v>
      </c>
      <c r="D45" s="14">
        <v>18</v>
      </c>
      <c r="E45" s="14">
        <v>18</v>
      </c>
      <c r="F45" s="14">
        <v>3</v>
      </c>
      <c r="G45" s="14">
        <v>3</v>
      </c>
      <c r="H45" s="14">
        <v>2</v>
      </c>
      <c r="I45" s="14">
        <v>2</v>
      </c>
      <c r="J45" s="14">
        <v>1</v>
      </c>
      <c r="K45" s="14">
        <v>2</v>
      </c>
      <c r="L45" s="21">
        <f>B45+D45+F45+H45+J45</f>
        <v>61</v>
      </c>
      <c r="M45" s="21">
        <f>C45+E45+G45+I45+K45</f>
        <v>63</v>
      </c>
    </row>
    <row r="46" spans="1:23" x14ac:dyDescent="0.35">
      <c r="A46" s="16" t="s">
        <v>48</v>
      </c>
      <c r="B46" s="17">
        <f t="shared" ref="B46:M46" si="9">SUM(B44:B45)</f>
        <v>598</v>
      </c>
      <c r="C46" s="17">
        <f t="shared" si="9"/>
        <v>1243</v>
      </c>
      <c r="D46" s="17">
        <f t="shared" si="9"/>
        <v>292</v>
      </c>
      <c r="E46" s="17">
        <f t="shared" si="9"/>
        <v>677</v>
      </c>
      <c r="F46" s="17">
        <f t="shared" si="9"/>
        <v>61</v>
      </c>
      <c r="G46" s="17">
        <f t="shared" si="9"/>
        <v>126</v>
      </c>
      <c r="H46" s="17">
        <f t="shared" si="9"/>
        <v>92</v>
      </c>
      <c r="I46" s="17">
        <f t="shared" si="9"/>
        <v>150</v>
      </c>
      <c r="J46" s="17">
        <f t="shared" si="9"/>
        <v>8</v>
      </c>
      <c r="K46" s="17">
        <f t="shared" si="9"/>
        <v>20</v>
      </c>
      <c r="L46" s="17">
        <f t="shared" si="9"/>
        <v>1051</v>
      </c>
      <c r="M46" s="17">
        <f t="shared" si="9"/>
        <v>2216</v>
      </c>
    </row>
  </sheetData>
  <mergeCells count="15">
    <mergeCell ref="A1:M1"/>
    <mergeCell ref="A2:A3"/>
    <mergeCell ref="B2:B3"/>
    <mergeCell ref="C2:C3"/>
    <mergeCell ref="D2:H2"/>
    <mergeCell ref="I2:M2"/>
    <mergeCell ref="A41:M41"/>
    <mergeCell ref="A42:A43"/>
    <mergeCell ref="B42:C42"/>
    <mergeCell ref="D42:E42"/>
    <mergeCell ref="F42:G42"/>
    <mergeCell ref="H42:I42"/>
    <mergeCell ref="J42:K42"/>
    <mergeCell ref="L42:L43"/>
    <mergeCell ref="M42:M43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zoomScale="80" zoomScaleNormal="80" workbookViewId="0">
      <pane ySplit="3" topLeftCell="A4" activePane="bottomLeft" state="frozen"/>
      <selection pane="bottomLeft" activeCell="F53" sqref="F53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8" width="10.54296875" customWidth="1"/>
    <col min="9" max="9" width="7.7265625" customWidth="1"/>
    <col min="10" max="10" width="9.7265625" customWidth="1"/>
    <col min="11" max="11" width="8.81640625" customWidth="1"/>
    <col min="12" max="12" width="9.81640625" customWidth="1"/>
    <col min="13" max="13" width="9.54296875" customWidth="1"/>
    <col min="1024" max="1024" width="11.54296875" customWidth="1"/>
  </cols>
  <sheetData>
    <row r="1" spans="1:23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3" ht="15" customHeight="1" x14ac:dyDescent="0.35">
      <c r="A2" s="41" t="s">
        <v>1</v>
      </c>
      <c r="B2" s="42" t="s">
        <v>68</v>
      </c>
      <c r="C2" s="43" t="s">
        <v>69</v>
      </c>
      <c r="D2" s="44" t="s">
        <v>4</v>
      </c>
      <c r="E2" s="44"/>
      <c r="F2" s="44"/>
      <c r="G2" s="44"/>
      <c r="H2" s="44"/>
      <c r="I2" s="44" t="s">
        <v>5</v>
      </c>
      <c r="J2" s="44"/>
      <c r="K2" s="44"/>
      <c r="L2" s="44"/>
      <c r="M2" s="44"/>
    </row>
    <row r="3" spans="1:23" ht="33.15" customHeight="1" x14ac:dyDescent="0.35">
      <c r="A3" s="41"/>
      <c r="B3" s="42"/>
      <c r="C3" s="43"/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I3" s="22" t="s">
        <v>6</v>
      </c>
      <c r="J3" s="22" t="s">
        <v>7</v>
      </c>
      <c r="K3" s="22" t="s">
        <v>8</v>
      </c>
      <c r="L3" s="22" t="s">
        <v>9</v>
      </c>
      <c r="M3" s="22" t="s">
        <v>10</v>
      </c>
    </row>
    <row r="4" spans="1:23" x14ac:dyDescent="0.35">
      <c r="A4" s="3">
        <v>3792</v>
      </c>
      <c r="B4" s="3">
        <f t="shared" ref="B4:B27" si="0">SUM(D4:H4)</f>
        <v>1287</v>
      </c>
      <c r="C4" s="3">
        <f t="shared" ref="C4:C27" si="1">SUM(I4:M4)</f>
        <v>2241</v>
      </c>
      <c r="D4" s="3">
        <f t="shared" ref="D4:M4" si="2">SUM(D5:D27)</f>
        <v>835</v>
      </c>
      <c r="E4" s="3">
        <f t="shared" si="2"/>
        <v>355</v>
      </c>
      <c r="F4" s="3">
        <f t="shared" si="2"/>
        <v>41</v>
      </c>
      <c r="G4" s="3">
        <f t="shared" si="2"/>
        <v>44</v>
      </c>
      <c r="H4" s="3">
        <f t="shared" si="2"/>
        <v>12</v>
      </c>
      <c r="I4" s="3">
        <f t="shared" si="2"/>
        <v>1297</v>
      </c>
      <c r="J4" s="3">
        <f t="shared" si="2"/>
        <v>649</v>
      </c>
      <c r="K4" s="3">
        <f t="shared" si="2"/>
        <v>69</v>
      </c>
      <c r="L4" s="3">
        <f t="shared" si="2"/>
        <v>66</v>
      </c>
      <c r="M4" s="3">
        <f t="shared" si="2"/>
        <v>160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5" t="s">
        <v>51</v>
      </c>
      <c r="B5" s="6">
        <f t="shared" si="0"/>
        <v>1</v>
      </c>
      <c r="C5" s="6">
        <f t="shared" si="1"/>
        <v>9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9</v>
      </c>
    </row>
    <row r="6" spans="1:23" x14ac:dyDescent="0.35">
      <c r="A6" s="5" t="s">
        <v>11</v>
      </c>
      <c r="B6" s="6">
        <f t="shared" si="0"/>
        <v>3</v>
      </c>
      <c r="C6" s="6">
        <f t="shared" si="1"/>
        <v>73</v>
      </c>
      <c r="D6" s="5">
        <v>0</v>
      </c>
      <c r="E6" s="5">
        <v>0</v>
      </c>
      <c r="F6" s="5">
        <v>0</v>
      </c>
      <c r="G6" s="5">
        <v>0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73</v>
      </c>
    </row>
    <row r="7" spans="1:23" x14ac:dyDescent="0.35">
      <c r="A7" s="5" t="s">
        <v>12</v>
      </c>
      <c r="B7" s="6">
        <f t="shared" si="0"/>
        <v>3</v>
      </c>
      <c r="C7" s="6">
        <f t="shared" si="1"/>
        <v>73</v>
      </c>
      <c r="D7" s="5">
        <v>0</v>
      </c>
      <c r="E7" s="5">
        <v>0</v>
      </c>
      <c r="F7" s="5">
        <v>0</v>
      </c>
      <c r="G7" s="5">
        <v>0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73</v>
      </c>
    </row>
    <row r="8" spans="1:23" x14ac:dyDescent="0.35">
      <c r="A8" s="5" t="s">
        <v>13</v>
      </c>
      <c r="B8" s="6">
        <f t="shared" si="0"/>
        <v>44</v>
      </c>
      <c r="C8" s="6">
        <f t="shared" si="1"/>
        <v>76</v>
      </c>
      <c r="D8" s="5">
        <v>22</v>
      </c>
      <c r="E8" s="5">
        <v>20</v>
      </c>
      <c r="F8" s="5">
        <v>1</v>
      </c>
      <c r="G8" s="5">
        <v>1</v>
      </c>
      <c r="H8" s="5">
        <v>0</v>
      </c>
      <c r="I8" s="5">
        <v>35</v>
      </c>
      <c r="J8" s="5">
        <v>39</v>
      </c>
      <c r="K8" s="5">
        <v>1</v>
      </c>
      <c r="L8" s="5">
        <v>1</v>
      </c>
      <c r="M8" s="5">
        <v>0</v>
      </c>
    </row>
    <row r="9" spans="1:23" x14ac:dyDescent="0.35">
      <c r="A9" s="5" t="s">
        <v>15</v>
      </c>
      <c r="B9" s="6">
        <f t="shared" si="0"/>
        <v>66</v>
      </c>
      <c r="C9" s="6">
        <f t="shared" si="1"/>
        <v>137</v>
      </c>
      <c r="D9" s="5">
        <v>37</v>
      </c>
      <c r="E9" s="5">
        <v>29</v>
      </c>
      <c r="F9" s="5">
        <v>0</v>
      </c>
      <c r="G9" s="5">
        <v>0</v>
      </c>
      <c r="H9" s="5">
        <v>0</v>
      </c>
      <c r="I9" s="5">
        <v>77</v>
      </c>
      <c r="J9" s="5">
        <v>60</v>
      </c>
      <c r="K9" s="5">
        <v>0</v>
      </c>
      <c r="L9" s="5">
        <v>0</v>
      </c>
      <c r="M9" s="5">
        <v>0</v>
      </c>
    </row>
    <row r="10" spans="1:23" x14ac:dyDescent="0.35">
      <c r="A10" s="5" t="s">
        <v>16</v>
      </c>
      <c r="B10" s="6">
        <f t="shared" si="0"/>
        <v>9</v>
      </c>
      <c r="C10" s="6">
        <f t="shared" si="1"/>
        <v>18</v>
      </c>
      <c r="D10" s="5">
        <v>4</v>
      </c>
      <c r="E10" s="5">
        <v>4</v>
      </c>
      <c r="F10" s="5">
        <v>0</v>
      </c>
      <c r="G10" s="5">
        <v>1</v>
      </c>
      <c r="H10" s="5">
        <v>0</v>
      </c>
      <c r="I10" s="5">
        <v>12</v>
      </c>
      <c r="J10" s="5">
        <v>4</v>
      </c>
      <c r="K10" s="5">
        <v>0</v>
      </c>
      <c r="L10" s="5">
        <v>2</v>
      </c>
      <c r="M10" s="5">
        <v>0</v>
      </c>
    </row>
    <row r="11" spans="1:23" x14ac:dyDescent="0.35">
      <c r="A11" s="5" t="s">
        <v>17</v>
      </c>
      <c r="B11" s="6">
        <f t="shared" si="0"/>
        <v>16</v>
      </c>
      <c r="C11" s="6">
        <f t="shared" si="1"/>
        <v>37</v>
      </c>
      <c r="D11" s="5">
        <v>12</v>
      </c>
      <c r="E11" s="5">
        <v>1</v>
      </c>
      <c r="F11" s="5">
        <v>3</v>
      </c>
      <c r="G11" s="5">
        <v>0</v>
      </c>
      <c r="H11" s="5">
        <v>0</v>
      </c>
      <c r="I11" s="5">
        <v>30</v>
      </c>
      <c r="J11" s="5">
        <v>1</v>
      </c>
      <c r="K11" s="5">
        <v>6</v>
      </c>
      <c r="L11" s="5">
        <v>0</v>
      </c>
      <c r="M11" s="5">
        <v>0</v>
      </c>
    </row>
    <row r="12" spans="1:23" x14ac:dyDescent="0.35">
      <c r="A12" s="5" t="s">
        <v>19</v>
      </c>
      <c r="B12" s="6">
        <f t="shared" si="0"/>
        <v>8</v>
      </c>
      <c r="C12" s="6">
        <f t="shared" si="1"/>
        <v>14</v>
      </c>
      <c r="D12" s="5">
        <v>4</v>
      </c>
      <c r="E12" s="5">
        <v>4</v>
      </c>
      <c r="F12" s="5">
        <v>0</v>
      </c>
      <c r="G12" s="5">
        <v>0</v>
      </c>
      <c r="H12" s="5">
        <v>0</v>
      </c>
      <c r="I12" s="5">
        <v>8</v>
      </c>
      <c r="J12" s="5">
        <v>6</v>
      </c>
      <c r="K12" s="5">
        <v>0</v>
      </c>
      <c r="L12" s="5">
        <v>0</v>
      </c>
      <c r="M12" s="5">
        <v>0</v>
      </c>
    </row>
    <row r="13" spans="1:23" x14ac:dyDescent="0.35">
      <c r="A13" s="5" t="s">
        <v>59</v>
      </c>
      <c r="B13" s="6">
        <f t="shared" si="0"/>
        <v>2</v>
      </c>
      <c r="C13" s="6">
        <f t="shared" si="1"/>
        <v>2</v>
      </c>
      <c r="D13" s="5">
        <v>0</v>
      </c>
      <c r="E13" s="5">
        <v>0</v>
      </c>
      <c r="F13" s="5">
        <v>0</v>
      </c>
      <c r="G13" s="5">
        <v>0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2</v>
      </c>
    </row>
    <row r="14" spans="1:23" x14ac:dyDescent="0.35">
      <c r="A14" s="5" t="s">
        <v>20</v>
      </c>
      <c r="B14" s="6">
        <f t="shared" si="0"/>
        <v>2</v>
      </c>
      <c r="C14" s="6">
        <f t="shared" si="1"/>
        <v>2</v>
      </c>
      <c r="D14" s="5">
        <v>0</v>
      </c>
      <c r="E14" s="5">
        <v>0</v>
      </c>
      <c r="F14" s="5">
        <v>0</v>
      </c>
      <c r="G14" s="5">
        <v>0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2</v>
      </c>
    </row>
    <row r="15" spans="1:23" x14ac:dyDescent="0.35">
      <c r="A15" s="5" t="s">
        <v>70</v>
      </c>
      <c r="B15" s="6">
        <f t="shared" si="0"/>
        <v>1</v>
      </c>
      <c r="C15" s="6">
        <f t="shared" si="1"/>
        <v>1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</row>
    <row r="16" spans="1:23" x14ac:dyDescent="0.35">
      <c r="A16" s="5" t="s">
        <v>21</v>
      </c>
      <c r="B16" s="6">
        <f t="shared" si="0"/>
        <v>111</v>
      </c>
      <c r="C16" s="6">
        <f t="shared" si="1"/>
        <v>257</v>
      </c>
      <c r="D16" s="5">
        <v>61</v>
      </c>
      <c r="E16" s="5">
        <v>39</v>
      </c>
      <c r="F16" s="5">
        <v>4</v>
      </c>
      <c r="G16" s="5">
        <v>7</v>
      </c>
      <c r="H16" s="5">
        <v>0</v>
      </c>
      <c r="I16" s="5">
        <v>138</v>
      </c>
      <c r="J16" s="5">
        <v>95</v>
      </c>
      <c r="K16" s="5">
        <v>12</v>
      </c>
      <c r="L16" s="5">
        <v>12</v>
      </c>
      <c r="M16" s="5">
        <v>0</v>
      </c>
    </row>
    <row r="17" spans="1:23" x14ac:dyDescent="0.35">
      <c r="A17" s="5" t="s">
        <v>22</v>
      </c>
      <c r="B17" s="6">
        <f t="shared" si="0"/>
        <v>40</v>
      </c>
      <c r="C17" s="6">
        <f t="shared" si="1"/>
        <v>83</v>
      </c>
      <c r="D17" s="5">
        <v>23</v>
      </c>
      <c r="E17" s="5">
        <v>14</v>
      </c>
      <c r="F17" s="5">
        <v>0</v>
      </c>
      <c r="G17" s="5">
        <v>3</v>
      </c>
      <c r="H17" s="5">
        <v>0</v>
      </c>
      <c r="I17" s="5">
        <v>49</v>
      </c>
      <c r="J17" s="5">
        <v>31</v>
      </c>
      <c r="K17" s="5">
        <v>0</v>
      </c>
      <c r="L17" s="5">
        <v>3</v>
      </c>
      <c r="M17" s="5">
        <v>0</v>
      </c>
    </row>
    <row r="18" spans="1:23" x14ac:dyDescent="0.35">
      <c r="A18" s="5" t="s">
        <v>23</v>
      </c>
      <c r="B18" s="6">
        <f t="shared" si="0"/>
        <v>115</v>
      </c>
      <c r="C18" s="6">
        <f t="shared" si="1"/>
        <v>226</v>
      </c>
      <c r="D18" s="5">
        <v>71</v>
      </c>
      <c r="E18" s="5">
        <v>32</v>
      </c>
      <c r="F18" s="5">
        <v>7</v>
      </c>
      <c r="G18" s="5">
        <v>5</v>
      </c>
      <c r="H18" s="5">
        <v>0</v>
      </c>
      <c r="I18" s="5">
        <v>142</v>
      </c>
      <c r="J18" s="5">
        <v>68</v>
      </c>
      <c r="K18" s="5">
        <v>11</v>
      </c>
      <c r="L18" s="5">
        <v>5</v>
      </c>
      <c r="M18" s="5">
        <v>0</v>
      </c>
    </row>
    <row r="19" spans="1:23" x14ac:dyDescent="0.35">
      <c r="A19" s="5" t="s">
        <v>24</v>
      </c>
      <c r="B19" s="6">
        <f t="shared" si="0"/>
        <v>13</v>
      </c>
      <c r="C19" s="6">
        <f t="shared" si="1"/>
        <v>30</v>
      </c>
      <c r="D19" s="5">
        <v>6</v>
      </c>
      <c r="E19" s="5">
        <v>5</v>
      </c>
      <c r="F19" s="5">
        <v>1</v>
      </c>
      <c r="G19" s="5">
        <v>1</v>
      </c>
      <c r="H19" s="5">
        <v>0</v>
      </c>
      <c r="I19" s="5">
        <v>14</v>
      </c>
      <c r="J19" s="5">
        <v>10</v>
      </c>
      <c r="K19" s="5">
        <v>4</v>
      </c>
      <c r="L19" s="5">
        <v>2</v>
      </c>
      <c r="M19" s="5">
        <v>0</v>
      </c>
    </row>
    <row r="20" spans="1:23" x14ac:dyDescent="0.35">
      <c r="A20" s="5" t="s">
        <v>25</v>
      </c>
      <c r="B20" s="6">
        <f t="shared" si="0"/>
        <v>77</v>
      </c>
      <c r="C20" s="6">
        <f t="shared" si="1"/>
        <v>163</v>
      </c>
      <c r="D20" s="5">
        <v>44</v>
      </c>
      <c r="E20" s="5">
        <v>23</v>
      </c>
      <c r="F20" s="5">
        <v>3</v>
      </c>
      <c r="G20" s="5">
        <v>7</v>
      </c>
      <c r="H20" s="5">
        <v>0</v>
      </c>
      <c r="I20" s="5">
        <v>84</v>
      </c>
      <c r="J20" s="5">
        <v>61</v>
      </c>
      <c r="K20" s="5">
        <v>4</v>
      </c>
      <c r="L20" s="5">
        <v>14</v>
      </c>
      <c r="M20" s="5">
        <v>0</v>
      </c>
    </row>
    <row r="21" spans="1:23" x14ac:dyDescent="0.35">
      <c r="A21" s="5" t="s">
        <v>26</v>
      </c>
      <c r="B21" s="6">
        <f t="shared" si="0"/>
        <v>51</v>
      </c>
      <c r="C21" s="6">
        <f t="shared" si="1"/>
        <v>100</v>
      </c>
      <c r="D21" s="5">
        <v>25</v>
      </c>
      <c r="E21" s="5">
        <v>23</v>
      </c>
      <c r="F21" s="5">
        <v>1</v>
      </c>
      <c r="G21" s="5">
        <v>2</v>
      </c>
      <c r="H21" s="5">
        <v>0</v>
      </c>
      <c r="I21" s="5">
        <v>44</v>
      </c>
      <c r="J21" s="5">
        <v>53</v>
      </c>
      <c r="K21" s="5">
        <v>1</v>
      </c>
      <c r="L21" s="5">
        <v>2</v>
      </c>
      <c r="M21" s="5">
        <v>0</v>
      </c>
    </row>
    <row r="22" spans="1:23" x14ac:dyDescent="0.35">
      <c r="A22" s="5" t="s">
        <v>27</v>
      </c>
      <c r="B22" s="6">
        <f t="shared" si="0"/>
        <v>38</v>
      </c>
      <c r="C22" s="6">
        <f t="shared" si="1"/>
        <v>58</v>
      </c>
      <c r="D22" s="5">
        <v>17</v>
      </c>
      <c r="E22" s="5">
        <v>9</v>
      </c>
      <c r="F22" s="5">
        <v>7</v>
      </c>
      <c r="G22" s="5">
        <v>5</v>
      </c>
      <c r="H22" s="5">
        <v>0</v>
      </c>
      <c r="I22" s="5">
        <v>25</v>
      </c>
      <c r="J22" s="5">
        <v>15</v>
      </c>
      <c r="K22" s="5">
        <v>10</v>
      </c>
      <c r="L22" s="5">
        <v>8</v>
      </c>
      <c r="M22" s="5">
        <v>0</v>
      </c>
    </row>
    <row r="23" spans="1:23" x14ac:dyDescent="0.35">
      <c r="A23" s="5" t="s">
        <v>28</v>
      </c>
      <c r="B23" s="6">
        <f t="shared" si="0"/>
        <v>80</v>
      </c>
      <c r="C23" s="6">
        <f t="shared" si="1"/>
        <v>166</v>
      </c>
      <c r="D23" s="5">
        <v>56</v>
      </c>
      <c r="E23" s="5">
        <v>17</v>
      </c>
      <c r="F23" s="5">
        <v>2</v>
      </c>
      <c r="G23" s="5">
        <v>5</v>
      </c>
      <c r="H23" s="5">
        <v>0</v>
      </c>
      <c r="I23" s="5">
        <v>110</v>
      </c>
      <c r="J23" s="5">
        <v>45</v>
      </c>
      <c r="K23" s="5">
        <v>2</v>
      </c>
      <c r="L23" s="5">
        <v>9</v>
      </c>
      <c r="M23" s="5">
        <v>0</v>
      </c>
    </row>
    <row r="24" spans="1:23" x14ac:dyDescent="0.35">
      <c r="A24" s="5" t="s">
        <v>29</v>
      </c>
      <c r="B24" s="6">
        <f t="shared" si="0"/>
        <v>20</v>
      </c>
      <c r="C24" s="6">
        <f t="shared" si="1"/>
        <v>25</v>
      </c>
      <c r="D24" s="5">
        <v>10</v>
      </c>
      <c r="E24" s="5">
        <v>4</v>
      </c>
      <c r="F24" s="5">
        <v>3</v>
      </c>
      <c r="G24" s="5">
        <v>3</v>
      </c>
      <c r="H24" s="5">
        <v>0</v>
      </c>
      <c r="I24" s="5">
        <v>13</v>
      </c>
      <c r="J24" s="5">
        <v>4</v>
      </c>
      <c r="K24" s="5">
        <v>5</v>
      </c>
      <c r="L24" s="5">
        <v>3</v>
      </c>
      <c r="M24" s="5">
        <v>0</v>
      </c>
    </row>
    <row r="25" spans="1:23" x14ac:dyDescent="0.35">
      <c r="A25" s="5" t="s">
        <v>30</v>
      </c>
      <c r="B25" s="6">
        <f t="shared" si="0"/>
        <v>69</v>
      </c>
      <c r="C25" s="6">
        <f t="shared" si="1"/>
        <v>126</v>
      </c>
      <c r="D25" s="5">
        <v>44</v>
      </c>
      <c r="E25" s="5">
        <v>16</v>
      </c>
      <c r="F25" s="5">
        <v>6</v>
      </c>
      <c r="G25" s="5">
        <v>3</v>
      </c>
      <c r="H25" s="5">
        <v>0</v>
      </c>
      <c r="I25" s="5">
        <v>80</v>
      </c>
      <c r="J25" s="5">
        <v>32</v>
      </c>
      <c r="K25" s="5">
        <v>10</v>
      </c>
      <c r="L25" s="5">
        <v>4</v>
      </c>
      <c r="M25" s="5">
        <v>0</v>
      </c>
    </row>
    <row r="26" spans="1:23" x14ac:dyDescent="0.35">
      <c r="A26" s="5" t="s">
        <v>71</v>
      </c>
      <c r="B26" s="6">
        <f t="shared" si="0"/>
        <v>493</v>
      </c>
      <c r="C26" s="6">
        <f t="shared" si="1"/>
        <v>534</v>
      </c>
      <c r="D26" s="5">
        <v>381</v>
      </c>
      <c r="E26" s="5">
        <v>109</v>
      </c>
      <c r="F26" s="5">
        <v>3</v>
      </c>
      <c r="G26" s="5">
        <v>0</v>
      </c>
      <c r="H26" s="5">
        <v>0</v>
      </c>
      <c r="I26" s="5">
        <v>414</v>
      </c>
      <c r="J26" s="5">
        <v>117</v>
      </c>
      <c r="K26" s="5">
        <v>3</v>
      </c>
      <c r="L26" s="5">
        <v>0</v>
      </c>
      <c r="M26" s="5">
        <v>0</v>
      </c>
    </row>
    <row r="27" spans="1:23" x14ac:dyDescent="0.35">
      <c r="A27" s="5" t="s">
        <v>72</v>
      </c>
      <c r="B27" s="6">
        <f t="shared" si="0"/>
        <v>25</v>
      </c>
      <c r="C27" s="6">
        <f t="shared" si="1"/>
        <v>31</v>
      </c>
      <c r="D27" s="5">
        <v>18</v>
      </c>
      <c r="E27" s="5">
        <v>6</v>
      </c>
      <c r="F27" s="5">
        <v>0</v>
      </c>
      <c r="G27" s="5">
        <v>1</v>
      </c>
      <c r="H27" s="5">
        <v>0</v>
      </c>
      <c r="I27" s="5">
        <v>22</v>
      </c>
      <c r="J27" s="5">
        <v>8</v>
      </c>
      <c r="K27" s="5">
        <v>0</v>
      </c>
      <c r="L27" s="5">
        <v>1</v>
      </c>
      <c r="M27" s="5">
        <v>0</v>
      </c>
    </row>
    <row r="28" spans="1:23" x14ac:dyDescent="0.35">
      <c r="A28" s="18">
        <v>3794</v>
      </c>
      <c r="B28" s="8">
        <f t="shared" ref="B28:M28" si="3">SUM(B29:B32)</f>
        <v>170</v>
      </c>
      <c r="C28" s="8">
        <f t="shared" si="3"/>
        <v>331</v>
      </c>
      <c r="D28" s="8">
        <f t="shared" si="3"/>
        <v>107</v>
      </c>
      <c r="E28" s="8">
        <f t="shared" si="3"/>
        <v>31</v>
      </c>
      <c r="F28" s="8">
        <f t="shared" si="3"/>
        <v>3</v>
      </c>
      <c r="G28" s="8">
        <f t="shared" si="3"/>
        <v>29</v>
      </c>
      <c r="H28" s="8">
        <f t="shared" si="3"/>
        <v>0</v>
      </c>
      <c r="I28" s="8">
        <f t="shared" si="3"/>
        <v>217</v>
      </c>
      <c r="J28" s="8">
        <f t="shared" si="3"/>
        <v>62</v>
      </c>
      <c r="K28" s="8">
        <f t="shared" si="3"/>
        <v>4</v>
      </c>
      <c r="L28" s="8">
        <f t="shared" si="3"/>
        <v>48</v>
      </c>
      <c r="M28" s="8">
        <f t="shared" si="3"/>
        <v>0</v>
      </c>
    </row>
    <row r="29" spans="1:23" x14ac:dyDescent="0.35">
      <c r="A29" s="5" t="s">
        <v>31</v>
      </c>
      <c r="B29" s="9">
        <f t="shared" ref="B29:B40" si="4">SUM(D29:H29)</f>
        <v>48</v>
      </c>
      <c r="C29" s="9">
        <f t="shared" ref="C29:C40" si="5">SUM(I29:M29)</f>
        <v>92</v>
      </c>
      <c r="D29" s="5">
        <v>37</v>
      </c>
      <c r="E29" s="5">
        <v>7</v>
      </c>
      <c r="F29" s="5">
        <v>1</v>
      </c>
      <c r="G29" s="5">
        <v>3</v>
      </c>
      <c r="H29" s="9">
        <v>0</v>
      </c>
      <c r="I29" s="5">
        <v>78</v>
      </c>
      <c r="J29" s="5">
        <v>9</v>
      </c>
      <c r="K29" s="5">
        <v>1</v>
      </c>
      <c r="L29" s="5">
        <v>4</v>
      </c>
      <c r="M29" s="9">
        <v>0</v>
      </c>
    </row>
    <row r="30" spans="1:23" x14ac:dyDescent="0.35">
      <c r="A30" s="5" t="s">
        <v>32</v>
      </c>
      <c r="B30" s="9">
        <f t="shared" si="4"/>
        <v>31</v>
      </c>
      <c r="C30" s="9">
        <f t="shared" si="5"/>
        <v>68</v>
      </c>
      <c r="D30" s="5">
        <v>21</v>
      </c>
      <c r="E30" s="5">
        <v>6</v>
      </c>
      <c r="F30" s="5">
        <v>0</v>
      </c>
      <c r="G30" s="5">
        <v>4</v>
      </c>
      <c r="H30" s="9">
        <v>0</v>
      </c>
      <c r="I30" s="5">
        <v>44</v>
      </c>
      <c r="J30" s="5">
        <v>18</v>
      </c>
      <c r="K30" s="5">
        <v>0</v>
      </c>
      <c r="L30" s="5">
        <v>6</v>
      </c>
      <c r="M30" s="9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35">
      <c r="A31" s="5" t="s">
        <v>33</v>
      </c>
      <c r="B31" s="9">
        <f t="shared" si="4"/>
        <v>68</v>
      </c>
      <c r="C31" s="9">
        <f t="shared" si="5"/>
        <v>140</v>
      </c>
      <c r="D31" s="5">
        <v>30</v>
      </c>
      <c r="E31" s="5">
        <v>15</v>
      </c>
      <c r="F31" s="5">
        <v>2</v>
      </c>
      <c r="G31" s="5">
        <v>21</v>
      </c>
      <c r="H31" s="9">
        <v>0</v>
      </c>
      <c r="I31" s="5">
        <v>69</v>
      </c>
      <c r="J31" s="5">
        <v>32</v>
      </c>
      <c r="K31" s="5">
        <v>3</v>
      </c>
      <c r="L31" s="5">
        <v>36</v>
      </c>
      <c r="M31" s="9">
        <v>0</v>
      </c>
    </row>
    <row r="32" spans="1:23" x14ac:dyDescent="0.35">
      <c r="A32" s="5" t="s">
        <v>73</v>
      </c>
      <c r="B32" s="9">
        <f t="shared" si="4"/>
        <v>23</v>
      </c>
      <c r="C32" s="9">
        <f t="shared" si="5"/>
        <v>31</v>
      </c>
      <c r="D32" s="5">
        <v>19</v>
      </c>
      <c r="E32" s="5">
        <v>3</v>
      </c>
      <c r="F32" s="5">
        <v>0</v>
      </c>
      <c r="G32" s="5">
        <v>1</v>
      </c>
      <c r="H32" s="9">
        <v>0</v>
      </c>
      <c r="I32" s="5">
        <v>26</v>
      </c>
      <c r="J32" s="5">
        <v>3</v>
      </c>
      <c r="K32" s="5">
        <v>0</v>
      </c>
      <c r="L32" s="5">
        <v>2</v>
      </c>
      <c r="M32" s="9">
        <v>0</v>
      </c>
    </row>
    <row r="33" spans="1:23" x14ac:dyDescent="0.35">
      <c r="A33" s="18">
        <v>3795</v>
      </c>
      <c r="B33" s="8">
        <f t="shared" si="4"/>
        <v>79</v>
      </c>
      <c r="C33" s="8">
        <f t="shared" si="5"/>
        <v>163</v>
      </c>
      <c r="D33" s="8">
        <f t="shared" ref="D33:M33" si="6">SUM(D34:D36)</f>
        <v>36</v>
      </c>
      <c r="E33" s="8">
        <f t="shared" si="6"/>
        <v>14</v>
      </c>
      <c r="F33" s="8">
        <f t="shared" si="6"/>
        <v>11</v>
      </c>
      <c r="G33" s="8">
        <f t="shared" si="6"/>
        <v>18</v>
      </c>
      <c r="H33" s="8">
        <f t="shared" si="6"/>
        <v>0</v>
      </c>
      <c r="I33" s="8">
        <f t="shared" si="6"/>
        <v>101</v>
      </c>
      <c r="J33" s="8">
        <f t="shared" si="6"/>
        <v>20</v>
      </c>
      <c r="K33" s="8">
        <f t="shared" si="6"/>
        <v>15</v>
      </c>
      <c r="L33" s="8">
        <f t="shared" si="6"/>
        <v>27</v>
      </c>
      <c r="M33" s="8">
        <f t="shared" si="6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5">
      <c r="A34" s="5" t="s">
        <v>34</v>
      </c>
      <c r="B34" s="9">
        <f t="shared" si="4"/>
        <v>21</v>
      </c>
      <c r="C34" s="9">
        <f t="shared" si="5"/>
        <v>41</v>
      </c>
      <c r="D34" s="5">
        <v>9</v>
      </c>
      <c r="E34" s="5">
        <v>3</v>
      </c>
      <c r="F34" s="5">
        <v>3</v>
      </c>
      <c r="G34" s="5">
        <v>6</v>
      </c>
      <c r="H34" s="9">
        <v>0</v>
      </c>
      <c r="I34" s="5">
        <v>21</v>
      </c>
      <c r="J34" s="5">
        <v>5</v>
      </c>
      <c r="K34" s="5">
        <v>4</v>
      </c>
      <c r="L34" s="5">
        <v>11</v>
      </c>
      <c r="M34" s="9">
        <v>0</v>
      </c>
    </row>
    <row r="35" spans="1:23" x14ac:dyDescent="0.35">
      <c r="A35" s="5" t="s">
        <v>35</v>
      </c>
      <c r="B35" s="9">
        <f t="shared" si="4"/>
        <v>51</v>
      </c>
      <c r="C35" s="9">
        <f t="shared" si="5"/>
        <v>115</v>
      </c>
      <c r="D35" s="5">
        <v>22</v>
      </c>
      <c r="E35" s="5">
        <v>10</v>
      </c>
      <c r="F35" s="5">
        <v>7</v>
      </c>
      <c r="G35" s="5">
        <v>12</v>
      </c>
      <c r="H35" s="9">
        <v>0</v>
      </c>
      <c r="I35" s="5">
        <v>75</v>
      </c>
      <c r="J35" s="5">
        <v>14</v>
      </c>
      <c r="K35" s="5">
        <v>10</v>
      </c>
      <c r="L35" s="5">
        <v>16</v>
      </c>
      <c r="M35" s="9">
        <v>0</v>
      </c>
    </row>
    <row r="36" spans="1:23" x14ac:dyDescent="0.35">
      <c r="A36" s="5" t="s">
        <v>74</v>
      </c>
      <c r="B36" s="9">
        <f t="shared" si="4"/>
        <v>7</v>
      </c>
      <c r="C36" s="9">
        <f t="shared" si="5"/>
        <v>7</v>
      </c>
      <c r="D36" s="5">
        <v>5</v>
      </c>
      <c r="E36" s="5">
        <v>1</v>
      </c>
      <c r="F36" s="5">
        <v>1</v>
      </c>
      <c r="G36" s="5">
        <v>0</v>
      </c>
      <c r="H36" s="9">
        <v>0</v>
      </c>
      <c r="I36" s="5">
        <v>5</v>
      </c>
      <c r="J36" s="5">
        <v>1</v>
      </c>
      <c r="K36" s="5">
        <v>1</v>
      </c>
      <c r="L36" s="5">
        <v>0</v>
      </c>
      <c r="M36" s="9">
        <v>0</v>
      </c>
    </row>
    <row r="37" spans="1:23" x14ac:dyDescent="0.35">
      <c r="A37" s="18">
        <v>3791</v>
      </c>
      <c r="B37" s="8">
        <f t="shared" si="4"/>
        <v>152</v>
      </c>
      <c r="C37" s="8">
        <f t="shared" si="5"/>
        <v>226</v>
      </c>
      <c r="D37" s="8">
        <f t="shared" ref="D37:M37" si="7">SUM(D38:D40)</f>
        <v>84</v>
      </c>
      <c r="E37" s="8">
        <f t="shared" si="7"/>
        <v>55</v>
      </c>
      <c r="F37" s="8">
        <f t="shared" si="7"/>
        <v>5</v>
      </c>
      <c r="G37" s="8">
        <f t="shared" si="7"/>
        <v>8</v>
      </c>
      <c r="H37" s="8">
        <f t="shared" si="7"/>
        <v>0</v>
      </c>
      <c r="I37" s="8">
        <f t="shared" si="7"/>
        <v>115</v>
      </c>
      <c r="J37" s="8">
        <f t="shared" si="7"/>
        <v>89</v>
      </c>
      <c r="K37" s="8">
        <f t="shared" si="7"/>
        <v>12</v>
      </c>
      <c r="L37" s="8">
        <f t="shared" si="7"/>
        <v>10</v>
      </c>
      <c r="M37" s="8">
        <f t="shared" si="7"/>
        <v>0</v>
      </c>
    </row>
    <row r="38" spans="1:23" x14ac:dyDescent="0.35">
      <c r="A38" s="5" t="s">
        <v>36</v>
      </c>
      <c r="B38" s="6">
        <f t="shared" si="4"/>
        <v>54</v>
      </c>
      <c r="C38" s="9">
        <f t="shared" si="5"/>
        <v>97</v>
      </c>
      <c r="D38" s="5">
        <v>22</v>
      </c>
      <c r="E38" s="5">
        <v>26</v>
      </c>
      <c r="F38" s="5">
        <v>3</v>
      </c>
      <c r="G38" s="5">
        <v>3</v>
      </c>
      <c r="H38" s="9">
        <v>0</v>
      </c>
      <c r="I38" s="5">
        <v>39</v>
      </c>
      <c r="J38" s="5">
        <v>50</v>
      </c>
      <c r="K38" s="5">
        <v>4</v>
      </c>
      <c r="L38" s="5">
        <v>4</v>
      </c>
      <c r="M38" s="9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35">
      <c r="A39" s="5" t="s">
        <v>37</v>
      </c>
      <c r="B39" s="6">
        <f t="shared" si="4"/>
        <v>35</v>
      </c>
      <c r="C39" s="9">
        <f t="shared" si="5"/>
        <v>56</v>
      </c>
      <c r="D39" s="5">
        <v>18</v>
      </c>
      <c r="E39" s="5">
        <v>12</v>
      </c>
      <c r="F39" s="5">
        <v>2</v>
      </c>
      <c r="G39" s="5">
        <v>3</v>
      </c>
      <c r="H39" s="9">
        <v>0</v>
      </c>
      <c r="I39" s="5">
        <v>24</v>
      </c>
      <c r="J39" s="5">
        <v>20</v>
      </c>
      <c r="K39" s="5">
        <v>8</v>
      </c>
      <c r="L39" s="5">
        <v>4</v>
      </c>
      <c r="M39" s="9">
        <v>0</v>
      </c>
    </row>
    <row r="40" spans="1:23" x14ac:dyDescent="0.35">
      <c r="A40" s="5" t="s">
        <v>75</v>
      </c>
      <c r="B40" s="6">
        <f t="shared" si="4"/>
        <v>63</v>
      </c>
      <c r="C40" s="9">
        <f t="shared" si="5"/>
        <v>73</v>
      </c>
      <c r="D40" s="5">
        <v>44</v>
      </c>
      <c r="E40" s="5">
        <v>17</v>
      </c>
      <c r="F40" s="5">
        <v>0</v>
      </c>
      <c r="G40" s="5">
        <v>2</v>
      </c>
      <c r="H40" s="9">
        <v>0</v>
      </c>
      <c r="I40" s="5">
        <v>52</v>
      </c>
      <c r="J40" s="5">
        <v>19</v>
      </c>
      <c r="K40" s="5">
        <v>0</v>
      </c>
      <c r="L40" s="5">
        <v>2</v>
      </c>
      <c r="M40" s="9">
        <v>0</v>
      </c>
    </row>
    <row r="41" spans="1:23" x14ac:dyDescent="0.35">
      <c r="A41" s="11" t="s">
        <v>38</v>
      </c>
      <c r="B41" s="12">
        <f t="shared" ref="B41:M41" si="8">B4+B28+B33+B37</f>
        <v>1688</v>
      </c>
      <c r="C41" s="12">
        <f t="shared" si="8"/>
        <v>2961</v>
      </c>
      <c r="D41" s="12">
        <f t="shared" si="8"/>
        <v>1062</v>
      </c>
      <c r="E41" s="12">
        <f t="shared" si="8"/>
        <v>455</v>
      </c>
      <c r="F41" s="12">
        <f t="shared" si="8"/>
        <v>60</v>
      </c>
      <c r="G41" s="12">
        <f t="shared" si="8"/>
        <v>99</v>
      </c>
      <c r="H41" s="12">
        <f t="shared" si="8"/>
        <v>12</v>
      </c>
      <c r="I41" s="12">
        <f t="shared" si="8"/>
        <v>1730</v>
      </c>
      <c r="J41" s="12">
        <f t="shared" si="8"/>
        <v>820</v>
      </c>
      <c r="K41" s="12">
        <f t="shared" si="8"/>
        <v>100</v>
      </c>
      <c r="L41" s="12">
        <f t="shared" si="8"/>
        <v>151</v>
      </c>
      <c r="M41" s="12">
        <f t="shared" si="8"/>
        <v>160</v>
      </c>
    </row>
    <row r="43" spans="1:23" ht="20" x14ac:dyDescent="0.35">
      <c r="A43" s="33" t="s">
        <v>39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23" ht="15" customHeight="1" x14ac:dyDescent="0.35">
      <c r="A44" s="34" t="s">
        <v>40</v>
      </c>
      <c r="B44" s="40" t="s">
        <v>6</v>
      </c>
      <c r="C44" s="40"/>
      <c r="D44" s="40" t="s">
        <v>7</v>
      </c>
      <c r="E44" s="40"/>
      <c r="F44" s="40" t="s">
        <v>8</v>
      </c>
      <c r="G44" s="40"/>
      <c r="H44" s="40" t="s">
        <v>9</v>
      </c>
      <c r="I44" s="40"/>
      <c r="J44" s="40" t="s">
        <v>41</v>
      </c>
      <c r="K44" s="40"/>
      <c r="L44" s="40" t="s">
        <v>42</v>
      </c>
      <c r="M44" s="40" t="s">
        <v>43</v>
      </c>
    </row>
    <row r="45" spans="1:23" x14ac:dyDescent="0.35">
      <c r="A45" s="34"/>
      <c r="B45" s="13" t="s">
        <v>44</v>
      </c>
      <c r="C45" s="13" t="s">
        <v>45</v>
      </c>
      <c r="D45" s="13" t="s">
        <v>44</v>
      </c>
      <c r="E45" s="13" t="s">
        <v>45</v>
      </c>
      <c r="F45" s="13" t="s">
        <v>44</v>
      </c>
      <c r="G45" s="13" t="s">
        <v>45</v>
      </c>
      <c r="H45" s="13" t="s">
        <v>44</v>
      </c>
      <c r="I45" s="13" t="s">
        <v>45</v>
      </c>
      <c r="J45" s="13" t="s">
        <v>44</v>
      </c>
      <c r="K45" s="13" t="s">
        <v>45</v>
      </c>
      <c r="L45" s="40"/>
      <c r="M45" s="40"/>
    </row>
    <row r="46" spans="1:23" x14ac:dyDescent="0.35">
      <c r="A46" s="14" t="s">
        <v>46</v>
      </c>
      <c r="B46" s="14">
        <v>525</v>
      </c>
      <c r="C46" s="14">
        <v>1216</v>
      </c>
      <c r="D46" s="14">
        <v>281</v>
      </c>
      <c r="E46" s="14">
        <v>667</v>
      </c>
      <c r="F46" s="14">
        <v>52</v>
      </c>
      <c r="G46" s="14">
        <v>96</v>
      </c>
      <c r="H46" s="14">
        <v>89</v>
      </c>
      <c r="I46" s="14">
        <v>146</v>
      </c>
      <c r="J46" s="14">
        <v>7</v>
      </c>
      <c r="K46" s="14">
        <v>87</v>
      </c>
      <c r="L46" s="21">
        <f t="shared" ref="L46:M48" si="9">SUM(B46+D46+F46+H46+J46)</f>
        <v>954</v>
      </c>
      <c r="M46" s="21">
        <f t="shared" si="9"/>
        <v>2212</v>
      </c>
    </row>
    <row r="47" spans="1:23" x14ac:dyDescent="0.35">
      <c r="A47" s="14" t="s">
        <v>76</v>
      </c>
      <c r="B47" s="14">
        <v>465</v>
      </c>
      <c r="C47" s="14">
        <v>519</v>
      </c>
      <c r="D47" s="14">
        <v>136</v>
      </c>
      <c r="E47" s="14">
        <v>148</v>
      </c>
      <c r="F47" s="14">
        <v>4</v>
      </c>
      <c r="G47" s="14">
        <v>4</v>
      </c>
      <c r="H47" s="14">
        <v>4</v>
      </c>
      <c r="I47" s="14">
        <v>5</v>
      </c>
      <c r="J47" s="14">
        <v>0</v>
      </c>
      <c r="K47" s="14">
        <v>0</v>
      </c>
      <c r="L47" s="21">
        <f t="shared" si="9"/>
        <v>609</v>
      </c>
      <c r="M47" s="21">
        <f t="shared" si="9"/>
        <v>676</v>
      </c>
    </row>
    <row r="48" spans="1:23" x14ac:dyDescent="0.35">
      <c r="A48" s="14" t="s">
        <v>47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3</v>
      </c>
      <c r="K48" s="14">
        <v>73</v>
      </c>
      <c r="L48" s="21">
        <f t="shared" si="9"/>
        <v>3</v>
      </c>
      <c r="M48" s="21">
        <f t="shared" si="9"/>
        <v>73</v>
      </c>
    </row>
    <row r="49" spans="1:13" x14ac:dyDescent="0.35">
      <c r="A49" s="16" t="s">
        <v>48</v>
      </c>
      <c r="B49" s="17">
        <f t="shared" ref="B49:M49" si="10">SUM(B46:B48)</f>
        <v>990</v>
      </c>
      <c r="C49" s="17">
        <f t="shared" si="10"/>
        <v>1735</v>
      </c>
      <c r="D49" s="17">
        <f t="shared" si="10"/>
        <v>417</v>
      </c>
      <c r="E49" s="17">
        <f t="shared" si="10"/>
        <v>815</v>
      </c>
      <c r="F49" s="17">
        <f t="shared" si="10"/>
        <v>56</v>
      </c>
      <c r="G49" s="17">
        <f t="shared" si="10"/>
        <v>100</v>
      </c>
      <c r="H49" s="17">
        <f t="shared" si="10"/>
        <v>93</v>
      </c>
      <c r="I49" s="17">
        <f t="shared" si="10"/>
        <v>151</v>
      </c>
      <c r="J49" s="17">
        <f t="shared" si="10"/>
        <v>10</v>
      </c>
      <c r="K49" s="17">
        <f t="shared" si="10"/>
        <v>160</v>
      </c>
      <c r="L49" s="17">
        <f t="shared" si="10"/>
        <v>1566</v>
      </c>
      <c r="M49" s="17">
        <f t="shared" si="10"/>
        <v>2961</v>
      </c>
    </row>
  </sheetData>
  <mergeCells count="15">
    <mergeCell ref="A1:M1"/>
    <mergeCell ref="A2:A3"/>
    <mergeCell ref="B2:B3"/>
    <mergeCell ref="C2:C3"/>
    <mergeCell ref="D2:H2"/>
    <mergeCell ref="I2:M2"/>
    <mergeCell ref="A43:M43"/>
    <mergeCell ref="A44:A45"/>
    <mergeCell ref="B44:C44"/>
    <mergeCell ref="D44:E44"/>
    <mergeCell ref="F44:G44"/>
    <mergeCell ref="H44:I44"/>
    <mergeCell ref="J44:K44"/>
    <mergeCell ref="L44:L45"/>
    <mergeCell ref="M44:M45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zoomScale="80" zoomScaleNormal="80" workbookViewId="0">
      <pane ySplit="3" topLeftCell="A34" activePane="bottomLeft" state="frozen"/>
      <selection pane="bottomLeft" activeCell="F53" sqref="F53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9" width="10.54296875" customWidth="1"/>
    <col min="10" max="10" width="7.7265625" customWidth="1"/>
    <col min="11" max="11" width="9.7265625" customWidth="1"/>
    <col min="12" max="12" width="8.81640625" customWidth="1"/>
    <col min="13" max="13" width="9.81640625" customWidth="1"/>
    <col min="14" max="15" width="9.54296875" customWidth="1"/>
  </cols>
  <sheetData>
    <row r="1" spans="1:25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25" ht="15" customHeight="1" x14ac:dyDescent="0.35">
      <c r="A2" s="41" t="s">
        <v>1</v>
      </c>
      <c r="B2" s="42" t="s">
        <v>77</v>
      </c>
      <c r="C2" s="43" t="s">
        <v>78</v>
      </c>
      <c r="D2" s="44" t="s">
        <v>4</v>
      </c>
      <c r="E2" s="44"/>
      <c r="F2" s="44"/>
      <c r="G2" s="44"/>
      <c r="H2" s="44"/>
      <c r="I2" s="44"/>
      <c r="J2" s="44" t="s">
        <v>5</v>
      </c>
      <c r="K2" s="44"/>
      <c r="L2" s="44"/>
      <c r="M2" s="44"/>
      <c r="N2" s="44"/>
      <c r="O2" s="44"/>
    </row>
    <row r="3" spans="1:25" ht="33.15" customHeight="1" x14ac:dyDescent="0.35">
      <c r="A3" s="41"/>
      <c r="B3" s="42"/>
      <c r="C3" s="43"/>
      <c r="D3" s="22" t="s">
        <v>6</v>
      </c>
      <c r="E3" s="22" t="s">
        <v>7</v>
      </c>
      <c r="F3" s="22" t="s">
        <v>8</v>
      </c>
      <c r="G3" s="22" t="s">
        <v>9</v>
      </c>
      <c r="H3" s="22" t="s">
        <v>79</v>
      </c>
      <c r="I3" s="22" t="s">
        <v>10</v>
      </c>
      <c r="J3" s="22" t="s">
        <v>6</v>
      </c>
      <c r="K3" s="22" t="s">
        <v>7</v>
      </c>
      <c r="L3" s="22" t="s">
        <v>8</v>
      </c>
      <c r="M3" s="22" t="s">
        <v>9</v>
      </c>
      <c r="N3" s="22" t="s">
        <v>79</v>
      </c>
      <c r="O3" s="22" t="s">
        <v>10</v>
      </c>
    </row>
    <row r="4" spans="1:25" x14ac:dyDescent="0.35">
      <c r="A4" s="23">
        <v>3792</v>
      </c>
      <c r="B4" s="23">
        <f t="shared" ref="B4:B29" si="0">SUM(D4:I4)</f>
        <v>1915</v>
      </c>
      <c r="C4" s="23">
        <f t="shared" ref="C4:C29" si="1">SUM(J4:O4)</f>
        <v>2912</v>
      </c>
      <c r="D4" s="3">
        <f t="shared" ref="D4:O4" si="2">SUM(D5:D29)</f>
        <v>1157</v>
      </c>
      <c r="E4" s="3">
        <f t="shared" si="2"/>
        <v>509</v>
      </c>
      <c r="F4" s="3">
        <f t="shared" si="2"/>
        <v>91</v>
      </c>
      <c r="G4" s="3">
        <f t="shared" si="2"/>
        <v>146</v>
      </c>
      <c r="H4" s="3">
        <f t="shared" si="2"/>
        <v>3</v>
      </c>
      <c r="I4" s="3">
        <f t="shared" si="2"/>
        <v>9</v>
      </c>
      <c r="J4" s="3">
        <f t="shared" si="2"/>
        <v>1748</v>
      </c>
      <c r="K4" s="3">
        <f t="shared" si="2"/>
        <v>826</v>
      </c>
      <c r="L4" s="3">
        <f t="shared" si="2"/>
        <v>133</v>
      </c>
      <c r="M4" s="3">
        <f t="shared" si="2"/>
        <v>185</v>
      </c>
      <c r="N4" s="3">
        <f t="shared" si="2"/>
        <v>3</v>
      </c>
      <c r="O4" s="3">
        <f t="shared" si="2"/>
        <v>17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35">
      <c r="A5" s="24" t="s">
        <v>80</v>
      </c>
      <c r="B5" s="25">
        <f t="shared" si="0"/>
        <v>874</v>
      </c>
      <c r="C5" s="25">
        <f t="shared" si="1"/>
        <v>909</v>
      </c>
      <c r="D5" s="5">
        <v>539</v>
      </c>
      <c r="E5" s="5">
        <v>196</v>
      </c>
      <c r="F5" s="5">
        <v>44</v>
      </c>
      <c r="G5" s="5">
        <v>92</v>
      </c>
      <c r="H5" s="5">
        <v>3</v>
      </c>
      <c r="I5" s="5">
        <v>0</v>
      </c>
      <c r="J5" s="5">
        <v>566</v>
      </c>
      <c r="K5" s="5">
        <v>203</v>
      </c>
      <c r="L5" s="5">
        <v>44</v>
      </c>
      <c r="M5" s="5">
        <v>93</v>
      </c>
      <c r="N5" s="5">
        <v>3</v>
      </c>
      <c r="O5" s="5">
        <v>0</v>
      </c>
    </row>
    <row r="6" spans="1:25" x14ac:dyDescent="0.35">
      <c r="A6" s="24" t="s">
        <v>51</v>
      </c>
      <c r="B6" s="25">
        <f t="shared" si="0"/>
        <v>3</v>
      </c>
      <c r="C6" s="25">
        <f t="shared" si="1"/>
        <v>11</v>
      </c>
      <c r="D6" s="5">
        <v>0</v>
      </c>
      <c r="E6" s="5">
        <v>1</v>
      </c>
      <c r="F6" s="5">
        <v>0</v>
      </c>
      <c r="G6" s="5">
        <v>0</v>
      </c>
      <c r="H6" s="5">
        <v>0</v>
      </c>
      <c r="I6" s="5">
        <v>2</v>
      </c>
      <c r="J6" s="5">
        <v>0</v>
      </c>
      <c r="K6" s="5">
        <v>1</v>
      </c>
      <c r="L6" s="5">
        <v>0</v>
      </c>
      <c r="M6" s="5">
        <v>0</v>
      </c>
      <c r="N6" s="5">
        <v>0</v>
      </c>
      <c r="O6" s="5">
        <v>10</v>
      </c>
    </row>
    <row r="7" spans="1:25" x14ac:dyDescent="0.35">
      <c r="A7" s="24" t="s">
        <v>11</v>
      </c>
      <c r="B7" s="25">
        <f t="shared" si="0"/>
        <v>1</v>
      </c>
      <c r="C7" s="25">
        <f t="shared" si="1"/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</row>
    <row r="8" spans="1:25" x14ac:dyDescent="0.35">
      <c r="A8" s="24" t="s">
        <v>12</v>
      </c>
      <c r="B8" s="25">
        <f t="shared" si="0"/>
        <v>1</v>
      </c>
      <c r="C8" s="25">
        <f t="shared" si="1"/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</v>
      </c>
    </row>
    <row r="9" spans="1:25" x14ac:dyDescent="0.35">
      <c r="A9" s="24" t="s">
        <v>52</v>
      </c>
      <c r="B9" s="25">
        <f t="shared" si="0"/>
        <v>1</v>
      </c>
      <c r="C9" s="25">
        <f t="shared" si="1"/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</row>
    <row r="10" spans="1:25" x14ac:dyDescent="0.35">
      <c r="A10" s="24" t="s">
        <v>13</v>
      </c>
      <c r="B10" s="25">
        <f t="shared" si="0"/>
        <v>35</v>
      </c>
      <c r="C10" s="25">
        <f t="shared" si="1"/>
        <v>90</v>
      </c>
      <c r="D10" s="5">
        <v>20</v>
      </c>
      <c r="E10" s="5">
        <v>13</v>
      </c>
      <c r="F10" s="5">
        <v>2</v>
      </c>
      <c r="G10" s="5">
        <v>0</v>
      </c>
      <c r="H10" s="5">
        <v>0</v>
      </c>
      <c r="I10" s="5">
        <v>0</v>
      </c>
      <c r="J10" s="5">
        <v>49</v>
      </c>
      <c r="K10" s="5">
        <v>33</v>
      </c>
      <c r="L10" s="5">
        <v>8</v>
      </c>
      <c r="M10" s="5">
        <v>0</v>
      </c>
      <c r="N10" s="5">
        <v>0</v>
      </c>
      <c r="O10" s="5">
        <v>0</v>
      </c>
    </row>
    <row r="11" spans="1:25" x14ac:dyDescent="0.35">
      <c r="A11" s="24" t="s">
        <v>15</v>
      </c>
      <c r="B11" s="25">
        <f t="shared" si="0"/>
        <v>59</v>
      </c>
      <c r="C11" s="25">
        <f t="shared" si="1"/>
        <v>109</v>
      </c>
      <c r="D11" s="5">
        <v>27</v>
      </c>
      <c r="E11" s="5">
        <v>29</v>
      </c>
      <c r="F11" s="5">
        <v>2</v>
      </c>
      <c r="G11" s="5">
        <v>1</v>
      </c>
      <c r="H11" s="5">
        <v>0</v>
      </c>
      <c r="I11" s="5">
        <v>0</v>
      </c>
      <c r="J11" s="5">
        <v>50</v>
      </c>
      <c r="K11" s="5">
        <v>56</v>
      </c>
      <c r="L11" s="5">
        <v>2</v>
      </c>
      <c r="M11" s="5">
        <v>1</v>
      </c>
      <c r="N11" s="5">
        <v>0</v>
      </c>
      <c r="O11" s="5">
        <v>0</v>
      </c>
    </row>
    <row r="12" spans="1:25" x14ac:dyDescent="0.35">
      <c r="A12" s="24" t="s">
        <v>16</v>
      </c>
      <c r="B12" s="25">
        <f t="shared" si="0"/>
        <v>9</v>
      </c>
      <c r="C12" s="25">
        <f t="shared" si="1"/>
        <v>19</v>
      </c>
      <c r="D12" s="5">
        <v>4</v>
      </c>
      <c r="E12" s="5">
        <v>3</v>
      </c>
      <c r="F12" s="5">
        <v>0</v>
      </c>
      <c r="G12" s="5">
        <v>2</v>
      </c>
      <c r="H12" s="5">
        <v>0</v>
      </c>
      <c r="I12" s="5">
        <v>0</v>
      </c>
      <c r="J12" s="5">
        <v>14</v>
      </c>
      <c r="K12" s="5">
        <v>3</v>
      </c>
      <c r="L12" s="5">
        <v>0</v>
      </c>
      <c r="M12" s="5">
        <v>2</v>
      </c>
      <c r="N12" s="5">
        <v>0</v>
      </c>
      <c r="O12" s="5">
        <v>0</v>
      </c>
    </row>
    <row r="13" spans="1:25" x14ac:dyDescent="0.35">
      <c r="A13" s="24" t="s">
        <v>17</v>
      </c>
      <c r="B13" s="25">
        <f t="shared" si="0"/>
        <v>15</v>
      </c>
      <c r="C13" s="25">
        <f t="shared" si="1"/>
        <v>36</v>
      </c>
      <c r="D13" s="5">
        <v>8</v>
      </c>
      <c r="E13" s="5">
        <v>3</v>
      </c>
      <c r="F13" s="5">
        <v>4</v>
      </c>
      <c r="G13" s="5">
        <v>0</v>
      </c>
      <c r="H13" s="5">
        <v>0</v>
      </c>
      <c r="I13" s="5">
        <v>0</v>
      </c>
      <c r="J13" s="5">
        <v>25</v>
      </c>
      <c r="K13" s="5">
        <v>3</v>
      </c>
      <c r="L13" s="5">
        <v>8</v>
      </c>
      <c r="M13" s="5">
        <v>0</v>
      </c>
      <c r="N13" s="5">
        <v>0</v>
      </c>
      <c r="O13" s="5">
        <v>0</v>
      </c>
    </row>
    <row r="14" spans="1:25" x14ac:dyDescent="0.35">
      <c r="A14" s="24" t="s">
        <v>19</v>
      </c>
      <c r="B14" s="25">
        <f t="shared" si="0"/>
        <v>10</v>
      </c>
      <c r="C14" s="25">
        <f t="shared" si="1"/>
        <v>19</v>
      </c>
      <c r="D14" s="5">
        <v>7</v>
      </c>
      <c r="E14" s="5">
        <v>3</v>
      </c>
      <c r="F14" s="5">
        <v>0</v>
      </c>
      <c r="G14" s="5">
        <v>0</v>
      </c>
      <c r="H14" s="5">
        <v>0</v>
      </c>
      <c r="I14" s="5">
        <v>0</v>
      </c>
      <c r="J14" s="5">
        <v>14</v>
      </c>
      <c r="K14" s="5">
        <v>5</v>
      </c>
      <c r="L14" s="5">
        <v>0</v>
      </c>
      <c r="M14" s="5">
        <v>0</v>
      </c>
      <c r="N14" s="5">
        <v>0</v>
      </c>
      <c r="O14" s="5">
        <v>0</v>
      </c>
    </row>
    <row r="15" spans="1:25" x14ac:dyDescent="0.35">
      <c r="A15" s="24" t="s">
        <v>59</v>
      </c>
      <c r="B15" s="25">
        <f t="shared" si="0"/>
        <v>2</v>
      </c>
      <c r="C15" s="25">
        <f t="shared" si="1"/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2</v>
      </c>
    </row>
    <row r="16" spans="1:25" x14ac:dyDescent="0.35">
      <c r="A16" s="24" t="s">
        <v>81</v>
      </c>
      <c r="B16" s="25">
        <f t="shared" si="0"/>
        <v>1</v>
      </c>
      <c r="C16" s="25">
        <f t="shared" si="1"/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</row>
    <row r="17" spans="1:25" x14ac:dyDescent="0.35">
      <c r="A17" s="24" t="s">
        <v>53</v>
      </c>
      <c r="B17" s="25">
        <f t="shared" si="0"/>
        <v>1</v>
      </c>
      <c r="C17" s="25">
        <f t="shared" si="1"/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</row>
    <row r="18" spans="1:25" x14ac:dyDescent="0.35">
      <c r="A18" s="24" t="s">
        <v>21</v>
      </c>
      <c r="B18" s="25">
        <f t="shared" si="0"/>
        <v>119</v>
      </c>
      <c r="C18" s="25">
        <f t="shared" si="1"/>
        <v>282</v>
      </c>
      <c r="D18" s="5">
        <v>66</v>
      </c>
      <c r="E18" s="5">
        <v>37</v>
      </c>
      <c r="F18" s="5">
        <v>7</v>
      </c>
      <c r="G18" s="5">
        <v>9</v>
      </c>
      <c r="H18" s="5">
        <v>0</v>
      </c>
      <c r="I18" s="5">
        <v>0</v>
      </c>
      <c r="J18" s="5">
        <v>160</v>
      </c>
      <c r="K18" s="5">
        <v>94</v>
      </c>
      <c r="L18" s="5">
        <v>14</v>
      </c>
      <c r="M18" s="5">
        <v>14</v>
      </c>
      <c r="N18" s="5">
        <v>0</v>
      </c>
      <c r="O18" s="5">
        <v>0</v>
      </c>
    </row>
    <row r="19" spans="1:25" x14ac:dyDescent="0.35">
      <c r="A19" s="24" t="s">
        <v>22</v>
      </c>
      <c r="B19" s="25">
        <f t="shared" si="0"/>
        <v>37</v>
      </c>
      <c r="C19" s="25">
        <f t="shared" si="1"/>
        <v>108</v>
      </c>
      <c r="D19" s="5">
        <v>24</v>
      </c>
      <c r="E19" s="5">
        <v>9</v>
      </c>
      <c r="F19" s="5">
        <v>0</v>
      </c>
      <c r="G19" s="5">
        <v>4</v>
      </c>
      <c r="H19" s="5">
        <v>0</v>
      </c>
      <c r="I19" s="5">
        <v>0</v>
      </c>
      <c r="J19" s="5">
        <v>79</v>
      </c>
      <c r="K19" s="5">
        <v>18</v>
      </c>
      <c r="L19" s="5">
        <v>0</v>
      </c>
      <c r="M19" s="5">
        <v>11</v>
      </c>
      <c r="N19" s="5">
        <v>0</v>
      </c>
      <c r="O19" s="5">
        <v>0</v>
      </c>
    </row>
    <row r="20" spans="1:25" x14ac:dyDescent="0.35">
      <c r="A20" s="24" t="s">
        <v>23</v>
      </c>
      <c r="B20" s="25">
        <f t="shared" si="0"/>
        <v>126</v>
      </c>
      <c r="C20" s="25">
        <f t="shared" si="1"/>
        <v>282</v>
      </c>
      <c r="D20" s="5">
        <v>78</v>
      </c>
      <c r="E20" s="5">
        <v>32</v>
      </c>
      <c r="F20" s="5">
        <v>9</v>
      </c>
      <c r="G20" s="5">
        <v>7</v>
      </c>
      <c r="H20" s="5">
        <v>0</v>
      </c>
      <c r="I20" s="5">
        <v>0</v>
      </c>
      <c r="J20" s="5">
        <v>192</v>
      </c>
      <c r="K20" s="5">
        <v>59</v>
      </c>
      <c r="L20" s="5">
        <v>19</v>
      </c>
      <c r="M20" s="5">
        <v>12</v>
      </c>
      <c r="N20" s="5">
        <v>0</v>
      </c>
      <c r="O20" s="5">
        <v>0</v>
      </c>
    </row>
    <row r="21" spans="1:25" x14ac:dyDescent="0.35">
      <c r="A21" s="24" t="s">
        <v>24</v>
      </c>
      <c r="B21" s="25">
        <f t="shared" si="0"/>
        <v>16</v>
      </c>
      <c r="C21" s="25">
        <f t="shared" si="1"/>
        <v>34</v>
      </c>
      <c r="D21" s="5">
        <v>9</v>
      </c>
      <c r="E21" s="5">
        <v>3</v>
      </c>
      <c r="F21" s="5">
        <v>1</v>
      </c>
      <c r="G21" s="5">
        <v>3</v>
      </c>
      <c r="H21" s="5">
        <v>0</v>
      </c>
      <c r="I21" s="5">
        <v>0</v>
      </c>
      <c r="J21" s="5">
        <v>21</v>
      </c>
      <c r="K21" s="5">
        <v>5</v>
      </c>
      <c r="L21" s="5">
        <v>4</v>
      </c>
      <c r="M21" s="5">
        <v>4</v>
      </c>
      <c r="N21" s="5">
        <v>0</v>
      </c>
      <c r="O21" s="5">
        <v>0</v>
      </c>
    </row>
    <row r="22" spans="1:25" x14ac:dyDescent="0.35">
      <c r="A22" s="24" t="s">
        <v>25</v>
      </c>
      <c r="B22" s="25">
        <f t="shared" si="0"/>
        <v>91</v>
      </c>
      <c r="C22" s="25">
        <f t="shared" si="1"/>
        <v>196</v>
      </c>
      <c r="D22" s="5">
        <v>51</v>
      </c>
      <c r="E22" s="5">
        <v>26</v>
      </c>
      <c r="F22" s="5">
        <v>6</v>
      </c>
      <c r="G22" s="5">
        <v>8</v>
      </c>
      <c r="H22" s="5">
        <v>0</v>
      </c>
      <c r="I22" s="5">
        <v>0</v>
      </c>
      <c r="J22" s="5">
        <v>100</v>
      </c>
      <c r="K22" s="5">
        <v>75</v>
      </c>
      <c r="L22" s="5">
        <v>7</v>
      </c>
      <c r="M22" s="5">
        <v>14</v>
      </c>
      <c r="N22" s="5">
        <v>0</v>
      </c>
      <c r="O22" s="5">
        <v>0</v>
      </c>
    </row>
    <row r="23" spans="1:25" x14ac:dyDescent="0.35">
      <c r="A23" s="24" t="s">
        <v>26</v>
      </c>
      <c r="B23" s="25">
        <f t="shared" si="0"/>
        <v>65</v>
      </c>
      <c r="C23" s="25">
        <f t="shared" si="1"/>
        <v>139</v>
      </c>
      <c r="D23" s="5">
        <v>34</v>
      </c>
      <c r="E23" s="5">
        <v>27</v>
      </c>
      <c r="F23" s="5">
        <v>1</v>
      </c>
      <c r="G23" s="5">
        <v>3</v>
      </c>
      <c r="H23" s="5">
        <v>0</v>
      </c>
      <c r="I23" s="5">
        <v>0</v>
      </c>
      <c r="J23" s="5">
        <v>70</v>
      </c>
      <c r="K23" s="5">
        <v>63</v>
      </c>
      <c r="L23" s="5">
        <v>1</v>
      </c>
      <c r="M23" s="5">
        <v>5</v>
      </c>
      <c r="N23" s="5">
        <v>0</v>
      </c>
      <c r="O23" s="5">
        <v>0</v>
      </c>
    </row>
    <row r="24" spans="1:25" x14ac:dyDescent="0.35">
      <c r="A24" s="24" t="s">
        <v>27</v>
      </c>
      <c r="B24" s="25">
        <f t="shared" si="0"/>
        <v>39</v>
      </c>
      <c r="C24" s="25">
        <f t="shared" si="1"/>
        <v>61</v>
      </c>
      <c r="D24" s="5">
        <v>18</v>
      </c>
      <c r="E24" s="5">
        <v>11</v>
      </c>
      <c r="F24" s="5">
        <v>6</v>
      </c>
      <c r="G24" s="5">
        <v>4</v>
      </c>
      <c r="H24" s="5">
        <v>0</v>
      </c>
      <c r="I24" s="5">
        <v>0</v>
      </c>
      <c r="J24" s="5">
        <v>25</v>
      </c>
      <c r="K24" s="5">
        <v>18</v>
      </c>
      <c r="L24" s="5">
        <v>10</v>
      </c>
      <c r="M24" s="5">
        <v>8</v>
      </c>
      <c r="N24" s="5">
        <v>0</v>
      </c>
      <c r="O24" s="5">
        <v>0</v>
      </c>
    </row>
    <row r="25" spans="1:25" x14ac:dyDescent="0.35">
      <c r="A25" s="24" t="s">
        <v>28</v>
      </c>
      <c r="B25" s="25">
        <f t="shared" si="0"/>
        <v>92</v>
      </c>
      <c r="C25" s="25">
        <f t="shared" si="1"/>
        <v>195</v>
      </c>
      <c r="D25" s="5">
        <v>62</v>
      </c>
      <c r="E25" s="5">
        <v>23</v>
      </c>
      <c r="F25" s="5">
        <v>2</v>
      </c>
      <c r="G25" s="5">
        <v>5</v>
      </c>
      <c r="H25" s="5">
        <v>0</v>
      </c>
      <c r="I25" s="5">
        <v>0</v>
      </c>
      <c r="J25" s="5">
        <v>129</v>
      </c>
      <c r="K25" s="5">
        <v>54</v>
      </c>
      <c r="L25" s="5">
        <v>3</v>
      </c>
      <c r="M25" s="5">
        <v>9</v>
      </c>
      <c r="N25" s="5">
        <v>0</v>
      </c>
      <c r="O25" s="5">
        <v>0</v>
      </c>
    </row>
    <row r="26" spans="1:25" x14ac:dyDescent="0.35">
      <c r="A26" s="24" t="s">
        <v>29</v>
      </c>
      <c r="B26" s="25">
        <f t="shared" si="0"/>
        <v>19</v>
      </c>
      <c r="C26" s="25">
        <f t="shared" si="1"/>
        <v>26</v>
      </c>
      <c r="D26" s="5">
        <v>9</v>
      </c>
      <c r="E26" s="5">
        <v>6</v>
      </c>
      <c r="F26" s="5">
        <v>3</v>
      </c>
      <c r="G26" s="5">
        <v>1</v>
      </c>
      <c r="H26" s="5">
        <v>0</v>
      </c>
      <c r="I26" s="5">
        <v>0</v>
      </c>
      <c r="J26" s="5">
        <v>9</v>
      </c>
      <c r="K26" s="5">
        <v>10</v>
      </c>
      <c r="L26" s="5">
        <v>6</v>
      </c>
      <c r="M26" s="5">
        <v>1</v>
      </c>
      <c r="N26" s="5">
        <v>0</v>
      </c>
      <c r="O26" s="5">
        <v>0</v>
      </c>
    </row>
    <row r="27" spans="1:25" x14ac:dyDescent="0.35">
      <c r="A27" s="24" t="s">
        <v>30</v>
      </c>
      <c r="B27" s="25">
        <f t="shared" si="0"/>
        <v>77</v>
      </c>
      <c r="C27" s="25">
        <f t="shared" si="1"/>
        <v>148</v>
      </c>
      <c r="D27" s="5">
        <v>48</v>
      </c>
      <c r="E27" s="5">
        <v>20</v>
      </c>
      <c r="F27" s="5">
        <v>3</v>
      </c>
      <c r="G27" s="5">
        <v>6</v>
      </c>
      <c r="H27" s="5">
        <v>0</v>
      </c>
      <c r="I27" s="5">
        <v>0</v>
      </c>
      <c r="J27" s="5">
        <v>84</v>
      </c>
      <c r="K27" s="5">
        <v>48</v>
      </c>
      <c r="L27" s="5">
        <v>6</v>
      </c>
      <c r="M27" s="5">
        <v>10</v>
      </c>
      <c r="N27" s="5">
        <v>0</v>
      </c>
      <c r="O27" s="5">
        <v>0</v>
      </c>
    </row>
    <row r="28" spans="1:25" x14ac:dyDescent="0.35">
      <c r="A28" s="24" t="s">
        <v>71</v>
      </c>
      <c r="B28" s="25">
        <f t="shared" si="0"/>
        <v>205</v>
      </c>
      <c r="C28" s="25">
        <f t="shared" si="1"/>
        <v>220</v>
      </c>
      <c r="D28" s="5">
        <v>144</v>
      </c>
      <c r="E28" s="5">
        <v>59</v>
      </c>
      <c r="F28" s="5">
        <v>1</v>
      </c>
      <c r="G28" s="5">
        <v>1</v>
      </c>
      <c r="H28" s="5">
        <v>0</v>
      </c>
      <c r="I28" s="5">
        <v>0</v>
      </c>
      <c r="J28" s="5">
        <v>152</v>
      </c>
      <c r="K28" s="5">
        <v>66</v>
      </c>
      <c r="L28" s="5">
        <v>1</v>
      </c>
      <c r="M28" s="5">
        <v>1</v>
      </c>
      <c r="N28" s="5">
        <v>0</v>
      </c>
      <c r="O28" s="5">
        <v>0</v>
      </c>
    </row>
    <row r="29" spans="1:25" x14ac:dyDescent="0.35">
      <c r="A29" s="24" t="s">
        <v>72</v>
      </c>
      <c r="B29" s="25">
        <f t="shared" si="0"/>
        <v>17</v>
      </c>
      <c r="C29" s="25">
        <f t="shared" si="1"/>
        <v>21</v>
      </c>
      <c r="D29" s="5">
        <v>9</v>
      </c>
      <c r="E29" s="5">
        <v>8</v>
      </c>
      <c r="F29" s="5">
        <v>0</v>
      </c>
      <c r="G29" s="5">
        <v>0</v>
      </c>
      <c r="H29" s="5">
        <v>0</v>
      </c>
      <c r="I29" s="5">
        <v>0</v>
      </c>
      <c r="J29" s="5">
        <v>9</v>
      </c>
      <c r="K29" s="5">
        <v>12</v>
      </c>
      <c r="L29" s="5">
        <v>0</v>
      </c>
      <c r="M29" s="5">
        <v>0</v>
      </c>
      <c r="N29" s="5">
        <v>0</v>
      </c>
      <c r="O29" s="5">
        <v>0</v>
      </c>
    </row>
    <row r="30" spans="1:25" x14ac:dyDescent="0.35">
      <c r="A30" s="26">
        <v>3794</v>
      </c>
      <c r="B30" s="27">
        <f t="shared" ref="B30:O30" si="3">SUM(B31:B34)</f>
        <v>163</v>
      </c>
      <c r="C30" s="27">
        <f t="shared" si="3"/>
        <v>335</v>
      </c>
      <c r="D30" s="8">
        <f t="shared" si="3"/>
        <v>89</v>
      </c>
      <c r="E30" s="8">
        <f t="shared" si="3"/>
        <v>32</v>
      </c>
      <c r="F30" s="8">
        <f t="shared" si="3"/>
        <v>6</v>
      </c>
      <c r="G30" s="8">
        <f t="shared" si="3"/>
        <v>36</v>
      </c>
      <c r="H30" s="8">
        <f t="shared" si="3"/>
        <v>0</v>
      </c>
      <c r="I30" s="8">
        <f t="shared" si="3"/>
        <v>0</v>
      </c>
      <c r="J30" s="8">
        <f t="shared" si="3"/>
        <v>186</v>
      </c>
      <c r="K30" s="8">
        <f t="shared" si="3"/>
        <v>62</v>
      </c>
      <c r="L30" s="8">
        <f t="shared" si="3"/>
        <v>11</v>
      </c>
      <c r="M30" s="8">
        <f t="shared" si="3"/>
        <v>76</v>
      </c>
      <c r="N30" s="8">
        <f t="shared" si="3"/>
        <v>0</v>
      </c>
      <c r="O30" s="8">
        <f t="shared" si="3"/>
        <v>0</v>
      </c>
    </row>
    <row r="31" spans="1:25" x14ac:dyDescent="0.35">
      <c r="A31" s="24" t="s">
        <v>31</v>
      </c>
      <c r="B31" s="28">
        <f t="shared" ref="B31:B42" si="4">SUM(D31:I31)</f>
        <v>41</v>
      </c>
      <c r="C31" s="28">
        <f t="shared" ref="C31:C42" si="5">SUM(J31:O31)</f>
        <v>87</v>
      </c>
      <c r="D31" s="5">
        <v>27</v>
      </c>
      <c r="E31" s="5">
        <v>6</v>
      </c>
      <c r="F31" s="5">
        <v>2</v>
      </c>
      <c r="G31" s="5">
        <v>6</v>
      </c>
      <c r="H31" s="5">
        <v>0</v>
      </c>
      <c r="I31" s="9">
        <v>0</v>
      </c>
      <c r="J31" s="5">
        <v>60</v>
      </c>
      <c r="K31" s="5">
        <v>8</v>
      </c>
      <c r="L31" s="5">
        <v>5</v>
      </c>
      <c r="M31" s="5">
        <v>14</v>
      </c>
      <c r="N31" s="5">
        <v>0</v>
      </c>
      <c r="O31" s="9">
        <v>0</v>
      </c>
    </row>
    <row r="32" spans="1:25" x14ac:dyDescent="0.35">
      <c r="A32" s="24" t="s">
        <v>32</v>
      </c>
      <c r="B32" s="28">
        <f t="shared" si="4"/>
        <v>36</v>
      </c>
      <c r="C32" s="28">
        <f t="shared" si="5"/>
        <v>78</v>
      </c>
      <c r="D32" s="5">
        <v>18</v>
      </c>
      <c r="E32" s="5">
        <v>13</v>
      </c>
      <c r="F32" s="5">
        <v>0</v>
      </c>
      <c r="G32" s="5">
        <v>5</v>
      </c>
      <c r="H32" s="5">
        <v>0</v>
      </c>
      <c r="I32" s="9">
        <v>0</v>
      </c>
      <c r="J32" s="5">
        <v>38</v>
      </c>
      <c r="K32" s="5">
        <v>26</v>
      </c>
      <c r="L32" s="5">
        <v>0</v>
      </c>
      <c r="M32" s="5">
        <v>14</v>
      </c>
      <c r="N32" s="5">
        <v>0</v>
      </c>
      <c r="O32" s="9">
        <v>0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35">
      <c r="A33" s="24" t="s">
        <v>33</v>
      </c>
      <c r="B33" s="28">
        <f t="shared" si="4"/>
        <v>74</v>
      </c>
      <c r="C33" s="28">
        <f t="shared" si="5"/>
        <v>153</v>
      </c>
      <c r="D33" s="5">
        <v>33</v>
      </c>
      <c r="E33" s="5">
        <v>13</v>
      </c>
      <c r="F33" s="5">
        <v>3</v>
      </c>
      <c r="G33" s="5">
        <v>25</v>
      </c>
      <c r="H33" s="5">
        <v>0</v>
      </c>
      <c r="I33" s="9">
        <v>0</v>
      </c>
      <c r="J33" s="5">
        <v>72</v>
      </c>
      <c r="K33" s="5">
        <v>28</v>
      </c>
      <c r="L33" s="5">
        <v>5</v>
      </c>
      <c r="M33" s="5">
        <v>48</v>
      </c>
      <c r="N33" s="5">
        <v>0</v>
      </c>
      <c r="O33" s="9">
        <v>0</v>
      </c>
    </row>
    <row r="34" spans="1:25" x14ac:dyDescent="0.35">
      <c r="A34" s="24" t="s">
        <v>73</v>
      </c>
      <c r="B34" s="28">
        <f t="shared" si="4"/>
        <v>12</v>
      </c>
      <c r="C34" s="28">
        <f t="shared" si="5"/>
        <v>17</v>
      </c>
      <c r="D34" s="5">
        <v>11</v>
      </c>
      <c r="E34" s="5">
        <v>0</v>
      </c>
      <c r="F34" s="5">
        <v>1</v>
      </c>
      <c r="G34" s="5">
        <v>0</v>
      </c>
      <c r="H34" s="5">
        <v>0</v>
      </c>
      <c r="I34" s="9">
        <v>0</v>
      </c>
      <c r="J34" s="5">
        <v>16</v>
      </c>
      <c r="K34" s="5">
        <v>0</v>
      </c>
      <c r="L34" s="5">
        <v>1</v>
      </c>
      <c r="M34" s="5">
        <v>0</v>
      </c>
      <c r="N34" s="5">
        <v>0</v>
      </c>
      <c r="O34" s="9">
        <v>0</v>
      </c>
    </row>
    <row r="35" spans="1:25" x14ac:dyDescent="0.35">
      <c r="A35" s="26">
        <v>3795</v>
      </c>
      <c r="B35" s="27">
        <f t="shared" si="4"/>
        <v>104</v>
      </c>
      <c r="C35" s="27">
        <f t="shared" si="5"/>
        <v>208</v>
      </c>
      <c r="D35" s="8">
        <f t="shared" ref="D35:O35" si="6">SUM(D36:D38)</f>
        <v>46</v>
      </c>
      <c r="E35" s="8">
        <f t="shared" si="6"/>
        <v>10</v>
      </c>
      <c r="F35" s="8">
        <f t="shared" si="6"/>
        <v>20</v>
      </c>
      <c r="G35" s="8">
        <f t="shared" si="6"/>
        <v>28</v>
      </c>
      <c r="H35" s="8">
        <f t="shared" si="6"/>
        <v>0</v>
      </c>
      <c r="I35" s="8">
        <f t="shared" si="6"/>
        <v>0</v>
      </c>
      <c r="J35" s="8">
        <f t="shared" si="6"/>
        <v>105</v>
      </c>
      <c r="K35" s="8">
        <f t="shared" si="6"/>
        <v>16</v>
      </c>
      <c r="L35" s="8">
        <f t="shared" si="6"/>
        <v>47</v>
      </c>
      <c r="M35" s="8">
        <f t="shared" si="6"/>
        <v>40</v>
      </c>
      <c r="N35" s="8">
        <f t="shared" si="6"/>
        <v>0</v>
      </c>
      <c r="O35" s="8">
        <f t="shared" si="6"/>
        <v>0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35">
      <c r="A36" s="24" t="s">
        <v>34</v>
      </c>
      <c r="B36" s="28">
        <f t="shared" si="4"/>
        <v>27</v>
      </c>
      <c r="C36" s="28">
        <f t="shared" si="5"/>
        <v>60</v>
      </c>
      <c r="D36" s="5">
        <v>12</v>
      </c>
      <c r="E36" s="5">
        <v>2</v>
      </c>
      <c r="F36" s="5">
        <v>6</v>
      </c>
      <c r="G36" s="5">
        <v>7</v>
      </c>
      <c r="H36" s="5">
        <v>0</v>
      </c>
      <c r="I36" s="9">
        <v>0</v>
      </c>
      <c r="J36" s="5">
        <v>29</v>
      </c>
      <c r="K36" s="5">
        <v>4</v>
      </c>
      <c r="L36" s="5">
        <v>16</v>
      </c>
      <c r="M36" s="5">
        <v>11</v>
      </c>
      <c r="N36" s="5">
        <v>0</v>
      </c>
      <c r="O36" s="9">
        <v>0</v>
      </c>
    </row>
    <row r="37" spans="1:25" x14ac:dyDescent="0.35">
      <c r="A37" s="24" t="s">
        <v>35</v>
      </c>
      <c r="B37" s="28">
        <f t="shared" si="4"/>
        <v>70</v>
      </c>
      <c r="C37" s="28">
        <f t="shared" si="5"/>
        <v>140</v>
      </c>
      <c r="D37" s="5">
        <v>29</v>
      </c>
      <c r="E37" s="5">
        <v>8</v>
      </c>
      <c r="F37" s="5">
        <v>12</v>
      </c>
      <c r="G37" s="5">
        <v>21</v>
      </c>
      <c r="H37" s="5">
        <v>0</v>
      </c>
      <c r="I37" s="9">
        <v>0</v>
      </c>
      <c r="J37" s="5">
        <v>70</v>
      </c>
      <c r="K37" s="5">
        <v>12</v>
      </c>
      <c r="L37" s="5">
        <v>29</v>
      </c>
      <c r="M37" s="5">
        <v>29</v>
      </c>
      <c r="N37" s="5">
        <v>0</v>
      </c>
      <c r="O37" s="9">
        <v>0</v>
      </c>
    </row>
    <row r="38" spans="1:25" x14ac:dyDescent="0.35">
      <c r="A38" s="24" t="s">
        <v>74</v>
      </c>
      <c r="B38" s="28">
        <f t="shared" si="4"/>
        <v>7</v>
      </c>
      <c r="C38" s="28">
        <f t="shared" si="5"/>
        <v>8</v>
      </c>
      <c r="D38" s="5">
        <v>5</v>
      </c>
      <c r="E38" s="5">
        <v>0</v>
      </c>
      <c r="F38" s="5">
        <v>2</v>
      </c>
      <c r="G38" s="5">
        <v>0</v>
      </c>
      <c r="H38" s="5">
        <v>0</v>
      </c>
      <c r="I38" s="9">
        <v>0</v>
      </c>
      <c r="J38" s="5">
        <v>6</v>
      </c>
      <c r="K38" s="5">
        <v>0</v>
      </c>
      <c r="L38" s="5">
        <v>2</v>
      </c>
      <c r="M38" s="5">
        <v>0</v>
      </c>
      <c r="N38" s="5">
        <v>0</v>
      </c>
      <c r="O38" s="9">
        <v>0</v>
      </c>
    </row>
    <row r="39" spans="1:25" x14ac:dyDescent="0.35">
      <c r="A39" s="26">
        <v>3791</v>
      </c>
      <c r="B39" s="27">
        <f t="shared" si="4"/>
        <v>131</v>
      </c>
      <c r="C39" s="27">
        <f t="shared" si="5"/>
        <v>212</v>
      </c>
      <c r="D39" s="8">
        <f t="shared" ref="D39:O39" si="7">SUM(D40:D42)</f>
        <v>70</v>
      </c>
      <c r="E39" s="8">
        <f t="shared" si="7"/>
        <v>51</v>
      </c>
      <c r="F39" s="8">
        <f t="shared" si="7"/>
        <v>6</v>
      </c>
      <c r="G39" s="8">
        <f t="shared" si="7"/>
        <v>4</v>
      </c>
      <c r="H39" s="8">
        <f t="shared" si="7"/>
        <v>0</v>
      </c>
      <c r="I39" s="8">
        <f t="shared" si="7"/>
        <v>0</v>
      </c>
      <c r="J39" s="8">
        <f t="shared" si="7"/>
        <v>108</v>
      </c>
      <c r="K39" s="8">
        <f t="shared" si="7"/>
        <v>89</v>
      </c>
      <c r="L39" s="8">
        <f t="shared" si="7"/>
        <v>9</v>
      </c>
      <c r="M39" s="8">
        <f t="shared" si="7"/>
        <v>6</v>
      </c>
      <c r="N39" s="8">
        <f t="shared" si="7"/>
        <v>0</v>
      </c>
      <c r="O39" s="8">
        <f t="shared" si="7"/>
        <v>0</v>
      </c>
    </row>
    <row r="40" spans="1:25" x14ac:dyDescent="0.35">
      <c r="A40" s="24" t="s">
        <v>36</v>
      </c>
      <c r="B40" s="25">
        <f t="shared" si="4"/>
        <v>61</v>
      </c>
      <c r="C40" s="28">
        <f t="shared" si="5"/>
        <v>112</v>
      </c>
      <c r="D40" s="5">
        <v>28</v>
      </c>
      <c r="E40" s="5">
        <v>28</v>
      </c>
      <c r="F40" s="5">
        <v>3</v>
      </c>
      <c r="G40" s="5">
        <v>2</v>
      </c>
      <c r="H40" s="5">
        <v>0</v>
      </c>
      <c r="I40" s="9">
        <v>0</v>
      </c>
      <c r="J40" s="5">
        <v>48</v>
      </c>
      <c r="K40" s="5">
        <v>57</v>
      </c>
      <c r="L40" s="5">
        <v>4</v>
      </c>
      <c r="M40" s="5">
        <v>3</v>
      </c>
      <c r="N40" s="5">
        <v>0</v>
      </c>
      <c r="O40" s="9">
        <v>0</v>
      </c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35">
      <c r="A41" s="24" t="s">
        <v>37</v>
      </c>
      <c r="B41" s="25">
        <f t="shared" si="4"/>
        <v>38</v>
      </c>
      <c r="C41" s="28">
        <f t="shared" si="5"/>
        <v>61</v>
      </c>
      <c r="D41" s="5">
        <v>17</v>
      </c>
      <c r="E41" s="5">
        <v>17</v>
      </c>
      <c r="F41" s="5">
        <v>3</v>
      </c>
      <c r="G41" s="5">
        <v>1</v>
      </c>
      <c r="H41" s="5">
        <v>0</v>
      </c>
      <c r="I41" s="9">
        <v>0</v>
      </c>
      <c r="J41" s="5">
        <v>28</v>
      </c>
      <c r="K41" s="5">
        <v>26</v>
      </c>
      <c r="L41" s="5">
        <v>5</v>
      </c>
      <c r="M41" s="5">
        <v>2</v>
      </c>
      <c r="N41" s="5">
        <v>0</v>
      </c>
      <c r="O41" s="9">
        <v>0</v>
      </c>
    </row>
    <row r="42" spans="1:25" x14ac:dyDescent="0.35">
      <c r="A42" s="24" t="s">
        <v>75</v>
      </c>
      <c r="B42" s="25">
        <f t="shared" si="4"/>
        <v>32</v>
      </c>
      <c r="C42" s="28">
        <f t="shared" si="5"/>
        <v>39</v>
      </c>
      <c r="D42" s="5">
        <v>25</v>
      </c>
      <c r="E42" s="5">
        <v>6</v>
      </c>
      <c r="F42" s="5">
        <v>0</v>
      </c>
      <c r="G42" s="5">
        <v>1</v>
      </c>
      <c r="H42" s="5">
        <v>0</v>
      </c>
      <c r="I42" s="9">
        <v>0</v>
      </c>
      <c r="J42" s="5">
        <v>32</v>
      </c>
      <c r="K42" s="5">
        <v>6</v>
      </c>
      <c r="L42" s="5">
        <v>0</v>
      </c>
      <c r="M42" s="5">
        <v>1</v>
      </c>
      <c r="N42" s="5">
        <v>0</v>
      </c>
      <c r="O42" s="9">
        <v>0</v>
      </c>
    </row>
    <row r="43" spans="1:25" x14ac:dyDescent="0.35">
      <c r="A43" s="11" t="s">
        <v>38</v>
      </c>
      <c r="B43" s="12">
        <f t="shared" ref="B43:O43" si="8">B4+B30+B35+B39</f>
        <v>2313</v>
      </c>
      <c r="C43" s="12">
        <f t="shared" si="8"/>
        <v>3667</v>
      </c>
      <c r="D43" s="12">
        <f t="shared" si="8"/>
        <v>1362</v>
      </c>
      <c r="E43" s="12">
        <f t="shared" si="8"/>
        <v>602</v>
      </c>
      <c r="F43" s="12">
        <f t="shared" si="8"/>
        <v>123</v>
      </c>
      <c r="G43" s="12">
        <f t="shared" si="8"/>
        <v>214</v>
      </c>
      <c r="H43" s="12">
        <f t="shared" si="8"/>
        <v>3</v>
      </c>
      <c r="I43" s="12">
        <f t="shared" si="8"/>
        <v>9</v>
      </c>
      <c r="J43" s="12">
        <f t="shared" si="8"/>
        <v>2147</v>
      </c>
      <c r="K43" s="12">
        <f t="shared" si="8"/>
        <v>993</v>
      </c>
      <c r="L43" s="12">
        <f t="shared" si="8"/>
        <v>200</v>
      </c>
      <c r="M43" s="12">
        <f t="shared" si="8"/>
        <v>307</v>
      </c>
      <c r="N43" s="12">
        <f t="shared" si="8"/>
        <v>3</v>
      </c>
      <c r="O43" s="12">
        <f t="shared" si="8"/>
        <v>17</v>
      </c>
    </row>
    <row r="45" spans="1:25" ht="20" x14ac:dyDescent="0.35">
      <c r="A45" s="33" t="s">
        <v>39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 spans="1:25" ht="15" customHeight="1" x14ac:dyDescent="0.35">
      <c r="A46" s="34" t="s">
        <v>40</v>
      </c>
      <c r="B46" s="40" t="s">
        <v>6</v>
      </c>
      <c r="C46" s="40"/>
      <c r="D46" s="40" t="s">
        <v>7</v>
      </c>
      <c r="E46" s="40"/>
      <c r="F46" s="40" t="s">
        <v>8</v>
      </c>
      <c r="G46" s="40"/>
      <c r="H46" s="40" t="s">
        <v>9</v>
      </c>
      <c r="I46" s="40"/>
      <c r="J46" s="40" t="s">
        <v>41</v>
      </c>
      <c r="K46" s="40"/>
      <c r="L46" s="40" t="s">
        <v>42</v>
      </c>
      <c r="M46" s="40" t="s">
        <v>43</v>
      </c>
    </row>
    <row r="47" spans="1:25" x14ac:dyDescent="0.35">
      <c r="A47" s="34"/>
      <c r="B47" s="13" t="s">
        <v>44</v>
      </c>
      <c r="C47" s="13" t="s">
        <v>45</v>
      </c>
      <c r="D47" s="13" t="s">
        <v>44</v>
      </c>
      <c r="E47" s="13" t="s">
        <v>45</v>
      </c>
      <c r="F47" s="13" t="s">
        <v>44</v>
      </c>
      <c r="G47" s="13" t="s">
        <v>45</v>
      </c>
      <c r="H47" s="13" t="s">
        <v>44</v>
      </c>
      <c r="I47" s="13" t="s">
        <v>45</v>
      </c>
      <c r="J47" s="13" t="s">
        <v>44</v>
      </c>
      <c r="K47" s="13" t="s">
        <v>45</v>
      </c>
      <c r="L47" s="40"/>
      <c r="M47" s="40"/>
    </row>
    <row r="48" spans="1:25" x14ac:dyDescent="0.35">
      <c r="A48" s="14" t="s">
        <v>46</v>
      </c>
      <c r="B48" s="14">
        <v>1092</v>
      </c>
      <c r="C48" s="14">
        <v>1912</v>
      </c>
      <c r="D48" s="14">
        <v>570</v>
      </c>
      <c r="E48" s="14">
        <v>1053</v>
      </c>
      <c r="F48" s="14">
        <v>114</v>
      </c>
      <c r="G48" s="14">
        <v>190</v>
      </c>
      <c r="H48" s="14">
        <v>108</v>
      </c>
      <c r="I48" s="14">
        <v>190</v>
      </c>
      <c r="J48" s="14">
        <v>6</v>
      </c>
      <c r="K48" s="14">
        <v>16</v>
      </c>
      <c r="L48" s="21">
        <f t="shared" ref="L48:M50" si="9">SUM(B48+D48+F48+H48+J48)</f>
        <v>1890</v>
      </c>
      <c r="M48" s="21">
        <f t="shared" si="9"/>
        <v>3361</v>
      </c>
    </row>
    <row r="49" spans="1:13" x14ac:dyDescent="0.35">
      <c r="A49" s="14" t="s">
        <v>76</v>
      </c>
      <c r="B49" s="14">
        <v>194</v>
      </c>
      <c r="C49" s="14">
        <v>215</v>
      </c>
      <c r="D49" s="14">
        <v>73</v>
      </c>
      <c r="E49" s="14">
        <v>84</v>
      </c>
      <c r="F49" s="14">
        <v>4</v>
      </c>
      <c r="G49" s="14">
        <v>4</v>
      </c>
      <c r="H49" s="14">
        <v>2</v>
      </c>
      <c r="I49" s="14">
        <v>2</v>
      </c>
      <c r="J49" s="14">
        <v>0</v>
      </c>
      <c r="K49" s="14">
        <v>0</v>
      </c>
      <c r="L49" s="21">
        <f t="shared" si="9"/>
        <v>273</v>
      </c>
      <c r="M49" s="21">
        <f t="shared" si="9"/>
        <v>305</v>
      </c>
    </row>
    <row r="50" spans="1:13" x14ac:dyDescent="0.35">
      <c r="A50" s="14" t="s">
        <v>47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1</v>
      </c>
      <c r="K50" s="14">
        <v>1</v>
      </c>
      <c r="L50" s="21">
        <f t="shared" si="9"/>
        <v>1</v>
      </c>
      <c r="M50" s="21">
        <f t="shared" si="9"/>
        <v>1</v>
      </c>
    </row>
    <row r="51" spans="1:13" x14ac:dyDescent="0.35">
      <c r="A51" s="16" t="s">
        <v>48</v>
      </c>
      <c r="B51" s="17">
        <f t="shared" ref="B51:M51" si="10">SUM(B48:B50)</f>
        <v>1286</v>
      </c>
      <c r="C51" s="17">
        <f t="shared" si="10"/>
        <v>2127</v>
      </c>
      <c r="D51" s="17">
        <f t="shared" si="10"/>
        <v>643</v>
      </c>
      <c r="E51" s="17">
        <f t="shared" si="10"/>
        <v>1137</v>
      </c>
      <c r="F51" s="17">
        <f t="shared" si="10"/>
        <v>118</v>
      </c>
      <c r="G51" s="17">
        <f t="shared" si="10"/>
        <v>194</v>
      </c>
      <c r="H51" s="17">
        <f t="shared" si="10"/>
        <v>110</v>
      </c>
      <c r="I51" s="17">
        <f t="shared" si="10"/>
        <v>192</v>
      </c>
      <c r="J51" s="17">
        <f t="shared" si="10"/>
        <v>7</v>
      </c>
      <c r="K51" s="17">
        <f t="shared" si="10"/>
        <v>17</v>
      </c>
      <c r="L51" s="17">
        <f t="shared" si="10"/>
        <v>2164</v>
      </c>
      <c r="M51" s="17">
        <f t="shared" si="10"/>
        <v>3667</v>
      </c>
    </row>
  </sheetData>
  <mergeCells count="15">
    <mergeCell ref="A1:O1"/>
    <mergeCell ref="A2:A3"/>
    <mergeCell ref="B2:B3"/>
    <mergeCell ref="C2:C3"/>
    <mergeCell ref="D2:I2"/>
    <mergeCell ref="J2:O2"/>
    <mergeCell ref="A45:M45"/>
    <mergeCell ref="A46:A47"/>
    <mergeCell ref="B46:C46"/>
    <mergeCell ref="D46:E46"/>
    <mergeCell ref="F46:G46"/>
    <mergeCell ref="H46:I46"/>
    <mergeCell ref="J46:K46"/>
    <mergeCell ref="L46:L47"/>
    <mergeCell ref="M46:M47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zoomScale="80" zoomScaleNormal="80" workbookViewId="0">
      <pane ySplit="3" topLeftCell="A37" activePane="bottomLeft" state="frozen"/>
      <selection pane="bottomLeft" activeCell="D11" sqref="D11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9" width="10.54296875" customWidth="1"/>
    <col min="10" max="11" width="7.7265625" customWidth="1"/>
    <col min="12" max="12" width="9.7265625" customWidth="1"/>
    <col min="13" max="13" width="8.81640625" customWidth="1"/>
    <col min="14" max="14" width="9.81640625" customWidth="1"/>
    <col min="15" max="17" width="9.54296875" customWidth="1"/>
  </cols>
  <sheetData>
    <row r="1" spans="1:26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1"/>
    </row>
    <row r="2" spans="1:26" ht="15" customHeight="1" x14ac:dyDescent="0.35">
      <c r="A2" s="41" t="s">
        <v>1</v>
      </c>
      <c r="B2" s="42" t="s">
        <v>82</v>
      </c>
      <c r="C2" s="43" t="s">
        <v>83</v>
      </c>
      <c r="D2" s="44" t="s">
        <v>4</v>
      </c>
      <c r="E2" s="44"/>
      <c r="F2" s="44"/>
      <c r="G2" s="44"/>
      <c r="H2" s="44"/>
      <c r="I2" s="44"/>
      <c r="J2" s="22"/>
      <c r="K2" s="44" t="s">
        <v>5</v>
      </c>
      <c r="L2" s="44"/>
      <c r="M2" s="44"/>
      <c r="N2" s="44"/>
      <c r="O2" s="44"/>
      <c r="P2" s="44"/>
      <c r="Q2" s="22"/>
    </row>
    <row r="3" spans="1:26" ht="33.15" customHeight="1" x14ac:dyDescent="0.35">
      <c r="A3" s="41"/>
      <c r="B3" s="42"/>
      <c r="C3" s="43"/>
      <c r="D3" s="22" t="s">
        <v>6</v>
      </c>
      <c r="E3" s="22" t="s">
        <v>7</v>
      </c>
      <c r="F3" s="22" t="s">
        <v>8</v>
      </c>
      <c r="G3" s="22" t="s">
        <v>9</v>
      </c>
      <c r="H3" s="22" t="s">
        <v>79</v>
      </c>
      <c r="I3" s="22" t="s">
        <v>10</v>
      </c>
      <c r="J3" s="22" t="s">
        <v>84</v>
      </c>
      <c r="K3" s="22" t="s">
        <v>6</v>
      </c>
      <c r="L3" s="22" t="s">
        <v>7</v>
      </c>
      <c r="M3" s="22" t="s">
        <v>8</v>
      </c>
      <c r="N3" s="22" t="s">
        <v>9</v>
      </c>
      <c r="O3" s="22" t="s">
        <v>79</v>
      </c>
      <c r="P3" s="22" t="s">
        <v>10</v>
      </c>
      <c r="Q3" s="22" t="s">
        <v>84</v>
      </c>
    </row>
    <row r="4" spans="1:26" x14ac:dyDescent="0.35">
      <c r="A4" s="23">
        <v>3792</v>
      </c>
      <c r="B4" s="23">
        <f>SUM(D4:J4)</f>
        <v>1454</v>
      </c>
      <c r="C4" s="23">
        <f>SUM(K4:Q4)</f>
        <v>2514</v>
      </c>
      <c r="D4" s="3">
        <f t="shared" ref="D4:Q4" si="0">SUM(D5:D28)</f>
        <v>837</v>
      </c>
      <c r="E4" s="3">
        <f t="shared" si="0"/>
        <v>395</v>
      </c>
      <c r="F4" s="3">
        <f t="shared" si="0"/>
        <v>89</v>
      </c>
      <c r="G4" s="3">
        <f t="shared" si="0"/>
        <v>109</v>
      </c>
      <c r="H4" s="3">
        <f t="shared" si="0"/>
        <v>0</v>
      </c>
      <c r="I4" s="3">
        <f t="shared" si="0"/>
        <v>20</v>
      </c>
      <c r="J4" s="3">
        <f t="shared" si="0"/>
        <v>4</v>
      </c>
      <c r="K4" s="3">
        <f t="shared" si="0"/>
        <v>1409</v>
      </c>
      <c r="L4" s="3">
        <f t="shared" si="0"/>
        <v>808</v>
      </c>
      <c r="M4" s="3">
        <f t="shared" si="0"/>
        <v>125</v>
      </c>
      <c r="N4" s="3">
        <f t="shared" si="0"/>
        <v>142</v>
      </c>
      <c r="O4" s="3">
        <f t="shared" si="0"/>
        <v>0</v>
      </c>
      <c r="P4" s="3">
        <f t="shared" si="0"/>
        <v>26</v>
      </c>
      <c r="Q4" s="3">
        <f t="shared" si="0"/>
        <v>4</v>
      </c>
      <c r="R4" s="4"/>
      <c r="S4" s="4"/>
      <c r="T4" s="4"/>
      <c r="U4" s="4"/>
      <c r="V4" s="4"/>
      <c r="W4" s="4"/>
      <c r="X4" s="4"/>
      <c r="Y4" s="4"/>
      <c r="Z4" s="4"/>
    </row>
    <row r="5" spans="1:26" x14ac:dyDescent="0.35">
      <c r="A5" s="5" t="s">
        <v>51</v>
      </c>
      <c r="B5" s="25">
        <f t="shared" ref="B5:B28" si="1">SUM(D5:I5)</f>
        <v>3</v>
      </c>
      <c r="C5" s="25">
        <f t="shared" ref="C5:C28" si="2">SUM(K5:P5)</f>
        <v>9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9</v>
      </c>
      <c r="Q5" s="5">
        <v>0</v>
      </c>
    </row>
    <row r="6" spans="1:26" x14ac:dyDescent="0.35">
      <c r="A6" s="5" t="s">
        <v>11</v>
      </c>
      <c r="B6" s="25">
        <f t="shared" si="1"/>
        <v>3</v>
      </c>
      <c r="C6" s="25">
        <f t="shared" si="2"/>
        <v>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3</v>
      </c>
      <c r="Q6" s="5">
        <v>0</v>
      </c>
    </row>
    <row r="7" spans="1:26" x14ac:dyDescent="0.35">
      <c r="A7" s="5" t="s">
        <v>12</v>
      </c>
      <c r="B7" s="25">
        <f t="shared" si="1"/>
        <v>3</v>
      </c>
      <c r="C7" s="25">
        <f t="shared" si="2"/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5">
        <v>0</v>
      </c>
    </row>
    <row r="8" spans="1:26" x14ac:dyDescent="0.35">
      <c r="A8" s="5" t="s">
        <v>13</v>
      </c>
      <c r="B8" s="25">
        <f t="shared" si="1"/>
        <v>33</v>
      </c>
      <c r="C8" s="25">
        <f t="shared" si="2"/>
        <v>111</v>
      </c>
      <c r="D8" s="5">
        <v>19</v>
      </c>
      <c r="E8" s="5">
        <v>14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62</v>
      </c>
      <c r="L8" s="5">
        <v>49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26" x14ac:dyDescent="0.35">
      <c r="A9" s="5" t="s">
        <v>15</v>
      </c>
      <c r="B9" s="25">
        <f t="shared" si="1"/>
        <v>37</v>
      </c>
      <c r="C9" s="25">
        <f t="shared" si="2"/>
        <v>80</v>
      </c>
      <c r="D9" s="5">
        <v>17</v>
      </c>
      <c r="E9" s="5">
        <v>17</v>
      </c>
      <c r="F9" s="5">
        <v>2</v>
      </c>
      <c r="G9" s="5">
        <v>1</v>
      </c>
      <c r="H9" s="5">
        <v>0</v>
      </c>
      <c r="I9" s="5">
        <v>0</v>
      </c>
      <c r="J9" s="5">
        <v>0</v>
      </c>
      <c r="K9" s="5">
        <v>34</v>
      </c>
      <c r="L9" s="5">
        <v>41</v>
      </c>
      <c r="M9" s="5">
        <v>3</v>
      </c>
      <c r="N9" s="5">
        <v>2</v>
      </c>
      <c r="O9" s="5">
        <v>0</v>
      </c>
      <c r="P9" s="5">
        <v>0</v>
      </c>
      <c r="Q9" s="5">
        <v>0</v>
      </c>
    </row>
    <row r="10" spans="1:26" x14ac:dyDescent="0.35">
      <c r="A10" s="5" t="s">
        <v>16</v>
      </c>
      <c r="B10" s="25">
        <f t="shared" si="1"/>
        <v>7</v>
      </c>
      <c r="C10" s="25">
        <f t="shared" si="2"/>
        <v>11</v>
      </c>
      <c r="D10" s="5">
        <v>4</v>
      </c>
      <c r="E10" s="5">
        <v>2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8</v>
      </c>
      <c r="L10" s="5">
        <v>2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</row>
    <row r="11" spans="1:26" x14ac:dyDescent="0.35">
      <c r="A11" s="5" t="s">
        <v>17</v>
      </c>
      <c r="B11" s="25">
        <f t="shared" si="1"/>
        <v>15</v>
      </c>
      <c r="C11" s="25">
        <f t="shared" si="2"/>
        <v>29</v>
      </c>
      <c r="D11" s="5">
        <v>11</v>
      </c>
      <c r="E11" s="5">
        <v>2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22</v>
      </c>
      <c r="L11" s="5">
        <v>3</v>
      </c>
      <c r="M11" s="5">
        <v>4</v>
      </c>
      <c r="N11" s="5">
        <v>0</v>
      </c>
      <c r="O11" s="5">
        <v>0</v>
      </c>
      <c r="P11" s="5">
        <v>0</v>
      </c>
      <c r="Q11" s="5">
        <v>0</v>
      </c>
    </row>
    <row r="12" spans="1:26" x14ac:dyDescent="0.35">
      <c r="A12" s="5" t="s">
        <v>18</v>
      </c>
      <c r="B12" s="25">
        <f t="shared" si="1"/>
        <v>1</v>
      </c>
      <c r="C12" s="25">
        <f t="shared" si="2"/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0</v>
      </c>
    </row>
    <row r="13" spans="1:26" x14ac:dyDescent="0.35">
      <c r="A13" s="5" t="s">
        <v>85</v>
      </c>
      <c r="B13" s="25">
        <f t="shared" si="1"/>
        <v>657</v>
      </c>
      <c r="C13" s="25">
        <f t="shared" si="2"/>
        <v>663</v>
      </c>
      <c r="D13" s="5">
        <v>383</v>
      </c>
      <c r="E13" s="5">
        <v>160</v>
      </c>
      <c r="F13" s="5">
        <v>49</v>
      </c>
      <c r="G13" s="5">
        <v>64</v>
      </c>
      <c r="H13" s="5">
        <v>0</v>
      </c>
      <c r="I13" s="5">
        <v>1</v>
      </c>
      <c r="J13" s="5">
        <v>4</v>
      </c>
      <c r="K13" s="5">
        <v>387</v>
      </c>
      <c r="L13" s="5">
        <v>160</v>
      </c>
      <c r="M13" s="5">
        <v>50</v>
      </c>
      <c r="N13" s="5">
        <v>65</v>
      </c>
      <c r="O13" s="5">
        <v>0</v>
      </c>
      <c r="P13" s="5">
        <v>1</v>
      </c>
      <c r="Q13" s="5">
        <v>4</v>
      </c>
    </row>
    <row r="14" spans="1:26" x14ac:dyDescent="0.35">
      <c r="A14" s="5" t="s">
        <v>19</v>
      </c>
      <c r="B14" s="25">
        <f t="shared" si="1"/>
        <v>15</v>
      </c>
      <c r="C14" s="25">
        <f t="shared" si="2"/>
        <v>34</v>
      </c>
      <c r="D14" s="5">
        <v>8</v>
      </c>
      <c r="E14" s="5">
        <v>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20</v>
      </c>
      <c r="L14" s="5">
        <v>14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26" x14ac:dyDescent="0.35">
      <c r="A15" s="5" t="s">
        <v>59</v>
      </c>
      <c r="B15" s="25">
        <f t="shared" si="1"/>
        <v>2</v>
      </c>
      <c r="C15" s="25">
        <f t="shared" si="2"/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5">
        <v>0</v>
      </c>
    </row>
    <row r="16" spans="1:26" x14ac:dyDescent="0.35">
      <c r="A16" s="5" t="s">
        <v>81</v>
      </c>
      <c r="B16" s="25">
        <f t="shared" si="1"/>
        <v>2</v>
      </c>
      <c r="C16" s="25">
        <f t="shared" si="2"/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</v>
      </c>
      <c r="Q16" s="5">
        <v>0</v>
      </c>
    </row>
    <row r="17" spans="1:26" x14ac:dyDescent="0.35">
      <c r="A17" s="5" t="s">
        <v>53</v>
      </c>
      <c r="B17" s="25">
        <f t="shared" si="1"/>
        <v>2</v>
      </c>
      <c r="C17" s="25">
        <f t="shared" si="2"/>
        <v>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5">
        <v>0</v>
      </c>
    </row>
    <row r="18" spans="1:26" x14ac:dyDescent="0.35">
      <c r="A18" s="5" t="s">
        <v>20</v>
      </c>
      <c r="B18" s="25">
        <f t="shared" si="1"/>
        <v>3</v>
      </c>
      <c r="C18" s="25">
        <f t="shared" si="2"/>
        <v>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3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</v>
      </c>
      <c r="Q18" s="5">
        <v>0</v>
      </c>
    </row>
    <row r="19" spans="1:26" x14ac:dyDescent="0.35">
      <c r="A19" s="5" t="s">
        <v>21</v>
      </c>
      <c r="B19" s="25">
        <f t="shared" si="1"/>
        <v>108</v>
      </c>
      <c r="C19" s="25">
        <f t="shared" si="2"/>
        <v>258</v>
      </c>
      <c r="D19" s="5">
        <v>62</v>
      </c>
      <c r="E19" s="5">
        <v>33</v>
      </c>
      <c r="F19" s="5">
        <v>6</v>
      </c>
      <c r="G19" s="5">
        <v>7</v>
      </c>
      <c r="H19" s="5">
        <v>0</v>
      </c>
      <c r="I19" s="5">
        <v>0</v>
      </c>
      <c r="J19" s="5">
        <v>0</v>
      </c>
      <c r="K19" s="5">
        <v>144</v>
      </c>
      <c r="L19" s="5">
        <v>85</v>
      </c>
      <c r="M19" s="5">
        <v>18</v>
      </c>
      <c r="N19" s="5">
        <v>11</v>
      </c>
      <c r="O19" s="5">
        <v>0</v>
      </c>
      <c r="P19" s="5">
        <v>0</v>
      </c>
      <c r="Q19" s="5">
        <v>0</v>
      </c>
    </row>
    <row r="20" spans="1:26" x14ac:dyDescent="0.35">
      <c r="A20" s="5" t="s">
        <v>22</v>
      </c>
      <c r="B20" s="25">
        <f t="shared" si="1"/>
        <v>39</v>
      </c>
      <c r="C20" s="25">
        <f t="shared" si="2"/>
        <v>87</v>
      </c>
      <c r="D20" s="5">
        <v>28</v>
      </c>
      <c r="E20" s="5">
        <v>6</v>
      </c>
      <c r="F20" s="5">
        <v>1</v>
      </c>
      <c r="G20" s="5">
        <v>4</v>
      </c>
      <c r="H20" s="5">
        <v>0</v>
      </c>
      <c r="I20" s="5">
        <v>0</v>
      </c>
      <c r="J20" s="5">
        <v>0</v>
      </c>
      <c r="K20" s="5">
        <v>64</v>
      </c>
      <c r="L20" s="5">
        <v>14</v>
      </c>
      <c r="M20" s="5">
        <v>1</v>
      </c>
      <c r="N20" s="5">
        <v>8</v>
      </c>
      <c r="O20" s="5">
        <v>0</v>
      </c>
      <c r="P20" s="5">
        <v>0</v>
      </c>
      <c r="Q20" s="5">
        <v>0</v>
      </c>
    </row>
    <row r="21" spans="1:26" x14ac:dyDescent="0.35">
      <c r="A21" s="5" t="s">
        <v>23</v>
      </c>
      <c r="B21" s="25">
        <f t="shared" si="1"/>
        <v>133</v>
      </c>
      <c r="C21" s="25">
        <f t="shared" si="2"/>
        <v>293</v>
      </c>
      <c r="D21" s="5">
        <v>79</v>
      </c>
      <c r="E21" s="5">
        <v>40</v>
      </c>
      <c r="F21" s="5">
        <v>8</v>
      </c>
      <c r="G21" s="5">
        <v>6</v>
      </c>
      <c r="H21" s="5">
        <v>0</v>
      </c>
      <c r="I21" s="5">
        <v>0</v>
      </c>
      <c r="J21" s="5">
        <v>0</v>
      </c>
      <c r="K21" s="5">
        <v>197</v>
      </c>
      <c r="L21" s="5">
        <v>74</v>
      </c>
      <c r="M21" s="5">
        <v>12</v>
      </c>
      <c r="N21" s="5">
        <v>10</v>
      </c>
      <c r="O21" s="5">
        <v>0</v>
      </c>
      <c r="P21" s="5">
        <v>0</v>
      </c>
      <c r="Q21" s="5">
        <v>0</v>
      </c>
    </row>
    <row r="22" spans="1:26" x14ac:dyDescent="0.35">
      <c r="A22" s="5" t="s">
        <v>24</v>
      </c>
      <c r="B22" s="25">
        <f t="shared" si="1"/>
        <v>18</v>
      </c>
      <c r="C22" s="25">
        <f t="shared" si="2"/>
        <v>45</v>
      </c>
      <c r="D22" s="5">
        <v>8</v>
      </c>
      <c r="E22" s="5">
        <v>7</v>
      </c>
      <c r="F22" s="5">
        <v>2</v>
      </c>
      <c r="G22" s="5">
        <v>1</v>
      </c>
      <c r="H22" s="5">
        <v>0</v>
      </c>
      <c r="I22" s="5">
        <v>0</v>
      </c>
      <c r="J22" s="5">
        <v>0</v>
      </c>
      <c r="K22" s="5">
        <v>24</v>
      </c>
      <c r="L22" s="5">
        <v>15</v>
      </c>
      <c r="M22" s="5">
        <v>5</v>
      </c>
      <c r="N22" s="5">
        <v>1</v>
      </c>
      <c r="O22" s="5">
        <v>0</v>
      </c>
      <c r="P22" s="5">
        <v>0</v>
      </c>
      <c r="Q22" s="5">
        <v>0</v>
      </c>
    </row>
    <row r="23" spans="1:26" x14ac:dyDescent="0.35">
      <c r="A23" s="5" t="s">
        <v>25</v>
      </c>
      <c r="B23" s="25">
        <f t="shared" si="1"/>
        <v>82</v>
      </c>
      <c r="C23" s="25">
        <f t="shared" si="2"/>
        <v>206</v>
      </c>
      <c r="D23" s="5">
        <v>46</v>
      </c>
      <c r="E23" s="5">
        <v>23</v>
      </c>
      <c r="F23" s="5">
        <v>8</v>
      </c>
      <c r="G23" s="5">
        <v>5</v>
      </c>
      <c r="H23" s="5">
        <v>0</v>
      </c>
      <c r="I23" s="5">
        <v>0</v>
      </c>
      <c r="J23" s="5">
        <v>0</v>
      </c>
      <c r="K23" s="5">
        <v>89</v>
      </c>
      <c r="L23" s="5">
        <v>98</v>
      </c>
      <c r="M23" s="5">
        <v>9</v>
      </c>
      <c r="N23" s="5">
        <v>10</v>
      </c>
      <c r="O23" s="5">
        <v>0</v>
      </c>
      <c r="P23" s="5">
        <v>0</v>
      </c>
      <c r="Q23" s="5">
        <v>0</v>
      </c>
    </row>
    <row r="24" spans="1:26" x14ac:dyDescent="0.35">
      <c r="A24" s="5" t="s">
        <v>26</v>
      </c>
      <c r="B24" s="25">
        <f t="shared" si="1"/>
        <v>59</v>
      </c>
      <c r="C24" s="25">
        <f t="shared" si="2"/>
        <v>158</v>
      </c>
      <c r="D24" s="5">
        <v>32</v>
      </c>
      <c r="E24" s="5">
        <v>23</v>
      </c>
      <c r="F24" s="5">
        <v>1</v>
      </c>
      <c r="G24" s="5">
        <v>3</v>
      </c>
      <c r="H24" s="5">
        <v>0</v>
      </c>
      <c r="I24" s="5">
        <v>0</v>
      </c>
      <c r="J24" s="5">
        <v>0</v>
      </c>
      <c r="K24" s="5">
        <v>72</v>
      </c>
      <c r="L24" s="5">
        <v>80</v>
      </c>
      <c r="M24" s="5">
        <v>1</v>
      </c>
      <c r="N24" s="5">
        <v>5</v>
      </c>
      <c r="O24" s="5">
        <v>0</v>
      </c>
      <c r="P24" s="5">
        <v>0</v>
      </c>
      <c r="Q24" s="5">
        <v>0</v>
      </c>
    </row>
    <row r="25" spans="1:26" x14ac:dyDescent="0.35">
      <c r="A25" s="5" t="s">
        <v>27</v>
      </c>
      <c r="B25" s="25">
        <f t="shared" si="1"/>
        <v>31</v>
      </c>
      <c r="C25" s="25">
        <f t="shared" si="2"/>
        <v>55</v>
      </c>
      <c r="D25" s="5">
        <v>13</v>
      </c>
      <c r="E25" s="5">
        <v>10</v>
      </c>
      <c r="F25" s="5">
        <v>3</v>
      </c>
      <c r="G25" s="5">
        <v>5</v>
      </c>
      <c r="H25" s="5">
        <v>0</v>
      </c>
      <c r="I25" s="5">
        <v>0</v>
      </c>
      <c r="J25" s="5">
        <v>0</v>
      </c>
      <c r="K25" s="5">
        <v>21</v>
      </c>
      <c r="L25" s="5">
        <v>17</v>
      </c>
      <c r="M25" s="5">
        <v>10</v>
      </c>
      <c r="N25" s="5">
        <v>7</v>
      </c>
      <c r="O25" s="5">
        <v>0</v>
      </c>
      <c r="P25" s="5">
        <v>0</v>
      </c>
      <c r="Q25" s="5">
        <v>0</v>
      </c>
    </row>
    <row r="26" spans="1:26" x14ac:dyDescent="0.35">
      <c r="A26" s="5" t="s">
        <v>28</v>
      </c>
      <c r="B26" s="25">
        <f t="shared" si="1"/>
        <v>100</v>
      </c>
      <c r="C26" s="25">
        <f t="shared" si="2"/>
        <v>236</v>
      </c>
      <c r="D26" s="5">
        <v>66</v>
      </c>
      <c r="E26" s="5">
        <v>25</v>
      </c>
      <c r="F26" s="5">
        <v>2</v>
      </c>
      <c r="G26" s="5">
        <v>7</v>
      </c>
      <c r="H26" s="5">
        <v>0</v>
      </c>
      <c r="I26" s="5">
        <v>0</v>
      </c>
      <c r="J26" s="5">
        <v>0</v>
      </c>
      <c r="K26" s="5">
        <v>147</v>
      </c>
      <c r="L26" s="5">
        <v>73</v>
      </c>
      <c r="M26" s="5">
        <v>3</v>
      </c>
      <c r="N26" s="5">
        <v>13</v>
      </c>
      <c r="O26" s="5">
        <v>0</v>
      </c>
      <c r="P26" s="5">
        <v>0</v>
      </c>
      <c r="Q26" s="5">
        <v>0</v>
      </c>
    </row>
    <row r="27" spans="1:26" x14ac:dyDescent="0.35">
      <c r="A27" s="5" t="s">
        <v>29</v>
      </c>
      <c r="B27" s="25">
        <f t="shared" si="1"/>
        <v>22</v>
      </c>
      <c r="C27" s="25">
        <f t="shared" si="2"/>
        <v>38</v>
      </c>
      <c r="D27" s="5">
        <v>12</v>
      </c>
      <c r="E27" s="5">
        <v>8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20</v>
      </c>
      <c r="L27" s="5">
        <v>15</v>
      </c>
      <c r="M27" s="5">
        <v>3</v>
      </c>
      <c r="N27" s="5">
        <v>0</v>
      </c>
      <c r="O27" s="5">
        <v>0</v>
      </c>
      <c r="P27" s="5">
        <v>0</v>
      </c>
      <c r="Q27" s="5">
        <v>0</v>
      </c>
    </row>
    <row r="28" spans="1:26" x14ac:dyDescent="0.35">
      <c r="A28" s="5" t="s">
        <v>30</v>
      </c>
      <c r="B28" s="25">
        <f t="shared" si="1"/>
        <v>75</v>
      </c>
      <c r="C28" s="25">
        <f t="shared" si="2"/>
        <v>181</v>
      </c>
      <c r="D28" s="5">
        <v>49</v>
      </c>
      <c r="E28" s="5">
        <v>18</v>
      </c>
      <c r="F28" s="5">
        <v>3</v>
      </c>
      <c r="G28" s="5">
        <v>5</v>
      </c>
      <c r="H28" s="5">
        <v>0</v>
      </c>
      <c r="I28" s="5">
        <v>0</v>
      </c>
      <c r="J28" s="5"/>
      <c r="K28" s="5">
        <v>98</v>
      </c>
      <c r="L28" s="5">
        <v>68</v>
      </c>
      <c r="M28" s="5">
        <v>6</v>
      </c>
      <c r="N28" s="5">
        <v>9</v>
      </c>
      <c r="O28" s="5">
        <v>0</v>
      </c>
      <c r="P28" s="5">
        <v>0</v>
      </c>
      <c r="Q28" s="5">
        <v>0</v>
      </c>
    </row>
    <row r="29" spans="1:26" x14ac:dyDescent="0.35">
      <c r="A29" s="26">
        <v>3794</v>
      </c>
      <c r="B29" s="27">
        <f t="shared" ref="B29:Q29" si="3">SUM(B30:B32)</f>
        <v>155</v>
      </c>
      <c r="C29" s="27">
        <f t="shared" si="3"/>
        <v>362</v>
      </c>
      <c r="D29" s="8">
        <f t="shared" si="3"/>
        <v>91</v>
      </c>
      <c r="E29" s="8">
        <f t="shared" si="3"/>
        <v>34</v>
      </c>
      <c r="F29" s="8">
        <f t="shared" si="3"/>
        <v>4</v>
      </c>
      <c r="G29" s="8">
        <f t="shared" si="3"/>
        <v>26</v>
      </c>
      <c r="H29" s="8">
        <f t="shared" si="3"/>
        <v>0</v>
      </c>
      <c r="I29" s="8">
        <f t="shared" si="3"/>
        <v>0</v>
      </c>
      <c r="J29" s="8">
        <f t="shared" si="3"/>
        <v>0</v>
      </c>
      <c r="K29" s="8">
        <f t="shared" si="3"/>
        <v>243</v>
      </c>
      <c r="L29" s="8">
        <f t="shared" si="3"/>
        <v>69</v>
      </c>
      <c r="M29" s="8">
        <f t="shared" si="3"/>
        <v>8</v>
      </c>
      <c r="N29" s="8">
        <f t="shared" si="3"/>
        <v>42</v>
      </c>
      <c r="O29" s="8">
        <f t="shared" si="3"/>
        <v>0</v>
      </c>
      <c r="P29" s="8">
        <f t="shared" si="3"/>
        <v>0</v>
      </c>
      <c r="Q29" s="8">
        <f t="shared" si="3"/>
        <v>0</v>
      </c>
    </row>
    <row r="30" spans="1:26" x14ac:dyDescent="0.35">
      <c r="A30" s="5" t="s">
        <v>31</v>
      </c>
      <c r="B30" s="28">
        <f t="shared" ref="B30:B38" si="4">SUM(D30:I30)</f>
        <v>39</v>
      </c>
      <c r="C30" s="28">
        <f t="shared" ref="C30:C38" si="5">SUM(K30:P30)</f>
        <v>106</v>
      </c>
      <c r="D30" s="5">
        <v>26</v>
      </c>
      <c r="E30" s="5">
        <v>7</v>
      </c>
      <c r="F30" s="5">
        <v>2</v>
      </c>
      <c r="G30" s="5">
        <v>4</v>
      </c>
      <c r="H30" s="5">
        <v>0</v>
      </c>
      <c r="I30" s="29">
        <v>0</v>
      </c>
      <c r="J30" s="29">
        <v>0</v>
      </c>
      <c r="K30" s="5">
        <v>81</v>
      </c>
      <c r="L30" s="5">
        <v>12</v>
      </c>
      <c r="M30" s="5">
        <v>5</v>
      </c>
      <c r="N30" s="5">
        <v>8</v>
      </c>
      <c r="O30" s="5">
        <v>0</v>
      </c>
      <c r="P30" s="29">
        <v>0</v>
      </c>
      <c r="Q30" s="29">
        <v>0</v>
      </c>
    </row>
    <row r="31" spans="1:26" x14ac:dyDescent="0.35">
      <c r="A31" s="5" t="s">
        <v>32</v>
      </c>
      <c r="B31" s="28">
        <f t="shared" si="4"/>
        <v>39</v>
      </c>
      <c r="C31" s="28">
        <f t="shared" si="5"/>
        <v>94</v>
      </c>
      <c r="D31" s="5">
        <v>25</v>
      </c>
      <c r="E31" s="5">
        <v>12</v>
      </c>
      <c r="F31" s="5"/>
      <c r="G31" s="5">
        <v>2</v>
      </c>
      <c r="H31" s="5">
        <v>0</v>
      </c>
      <c r="I31" s="29">
        <v>0</v>
      </c>
      <c r="J31" s="29">
        <v>0</v>
      </c>
      <c r="K31" s="5">
        <v>64</v>
      </c>
      <c r="L31" s="5">
        <v>28</v>
      </c>
      <c r="M31" s="5">
        <v>0</v>
      </c>
      <c r="N31" s="5">
        <v>2</v>
      </c>
      <c r="O31" s="5">
        <v>0</v>
      </c>
      <c r="P31" s="29">
        <v>0</v>
      </c>
      <c r="Q31" s="29">
        <v>0</v>
      </c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5">
      <c r="A32" s="5" t="s">
        <v>33</v>
      </c>
      <c r="B32" s="28">
        <f t="shared" si="4"/>
        <v>77</v>
      </c>
      <c r="C32" s="28">
        <f t="shared" si="5"/>
        <v>162</v>
      </c>
      <c r="D32" s="5">
        <v>40</v>
      </c>
      <c r="E32" s="5">
        <v>15</v>
      </c>
      <c r="F32" s="5">
        <v>2</v>
      </c>
      <c r="G32" s="5">
        <v>20</v>
      </c>
      <c r="H32" s="5">
        <v>0</v>
      </c>
      <c r="I32" s="29">
        <v>0</v>
      </c>
      <c r="J32" s="29">
        <v>0</v>
      </c>
      <c r="K32" s="5">
        <v>98</v>
      </c>
      <c r="L32" s="5">
        <v>29</v>
      </c>
      <c r="M32" s="5">
        <v>3</v>
      </c>
      <c r="N32" s="5">
        <v>32</v>
      </c>
      <c r="O32" s="5">
        <v>0</v>
      </c>
      <c r="P32" s="29">
        <v>0</v>
      </c>
      <c r="Q32" s="29">
        <v>0</v>
      </c>
    </row>
    <row r="33" spans="1:26" x14ac:dyDescent="0.35">
      <c r="A33" s="26">
        <v>3795</v>
      </c>
      <c r="B33" s="27">
        <f t="shared" si="4"/>
        <v>91</v>
      </c>
      <c r="C33" s="27">
        <f t="shared" si="5"/>
        <v>220</v>
      </c>
      <c r="D33" s="8">
        <f t="shared" ref="D33:Q33" si="6">SUM(D34:D35)</f>
        <v>35</v>
      </c>
      <c r="E33" s="8">
        <f t="shared" si="6"/>
        <v>15</v>
      </c>
      <c r="F33" s="8">
        <f t="shared" si="6"/>
        <v>16</v>
      </c>
      <c r="G33" s="8">
        <f t="shared" si="6"/>
        <v>25</v>
      </c>
      <c r="H33" s="8">
        <f t="shared" si="6"/>
        <v>0</v>
      </c>
      <c r="I33" s="8">
        <f t="shared" si="6"/>
        <v>0</v>
      </c>
      <c r="J33" s="8">
        <f t="shared" si="6"/>
        <v>0</v>
      </c>
      <c r="K33" s="8">
        <f t="shared" si="6"/>
        <v>92</v>
      </c>
      <c r="L33" s="8">
        <f t="shared" si="6"/>
        <v>22</v>
      </c>
      <c r="M33" s="8">
        <f t="shared" si="6"/>
        <v>64</v>
      </c>
      <c r="N33" s="8">
        <f t="shared" si="6"/>
        <v>42</v>
      </c>
      <c r="O33" s="8">
        <f t="shared" si="6"/>
        <v>0</v>
      </c>
      <c r="P33" s="8">
        <f t="shared" si="6"/>
        <v>0</v>
      </c>
      <c r="Q33" s="8">
        <f t="shared" si="6"/>
        <v>0</v>
      </c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5">
      <c r="A34" s="5" t="s">
        <v>34</v>
      </c>
      <c r="B34" s="28">
        <f t="shared" si="4"/>
        <v>28</v>
      </c>
      <c r="C34" s="28">
        <f t="shared" si="5"/>
        <v>81</v>
      </c>
      <c r="D34" s="5">
        <v>11</v>
      </c>
      <c r="E34" s="5">
        <v>4</v>
      </c>
      <c r="F34" s="5">
        <v>5</v>
      </c>
      <c r="G34" s="5">
        <v>8</v>
      </c>
      <c r="H34" s="5">
        <v>0</v>
      </c>
      <c r="I34" s="29">
        <v>0</v>
      </c>
      <c r="J34" s="29">
        <v>0</v>
      </c>
      <c r="K34" s="5">
        <v>36</v>
      </c>
      <c r="L34" s="5">
        <v>6</v>
      </c>
      <c r="M34" s="5">
        <v>22</v>
      </c>
      <c r="N34" s="5">
        <v>17</v>
      </c>
      <c r="O34" s="5">
        <v>0</v>
      </c>
      <c r="P34" s="29">
        <v>0</v>
      </c>
      <c r="Q34" s="29">
        <v>0</v>
      </c>
    </row>
    <row r="35" spans="1:26" x14ac:dyDescent="0.35">
      <c r="A35" s="5" t="s">
        <v>35</v>
      </c>
      <c r="B35" s="28">
        <f t="shared" si="4"/>
        <v>63</v>
      </c>
      <c r="C35" s="28">
        <f t="shared" si="5"/>
        <v>139</v>
      </c>
      <c r="D35" s="5">
        <v>24</v>
      </c>
      <c r="E35" s="5">
        <v>11</v>
      </c>
      <c r="F35" s="5">
        <v>11</v>
      </c>
      <c r="G35" s="5">
        <v>17</v>
      </c>
      <c r="H35" s="5">
        <v>0</v>
      </c>
      <c r="I35" s="29">
        <v>0</v>
      </c>
      <c r="J35" s="29">
        <v>0</v>
      </c>
      <c r="K35" s="5">
        <v>56</v>
      </c>
      <c r="L35" s="5">
        <v>16</v>
      </c>
      <c r="M35" s="5">
        <v>42</v>
      </c>
      <c r="N35" s="5">
        <v>25</v>
      </c>
      <c r="O35" s="5">
        <v>0</v>
      </c>
      <c r="P35" s="29">
        <v>0</v>
      </c>
      <c r="Q35" s="29">
        <v>0</v>
      </c>
    </row>
    <row r="36" spans="1:26" x14ac:dyDescent="0.35">
      <c r="A36" s="26">
        <v>3791</v>
      </c>
      <c r="B36" s="27">
        <f t="shared" si="4"/>
        <v>93</v>
      </c>
      <c r="C36" s="27">
        <f t="shared" si="5"/>
        <v>182</v>
      </c>
      <c r="D36" s="8">
        <f t="shared" ref="D36:Q36" si="7">SUM(D37:D38)</f>
        <v>45</v>
      </c>
      <c r="E36" s="8">
        <f t="shared" si="7"/>
        <v>39</v>
      </c>
      <c r="F36" s="8">
        <f t="shared" si="7"/>
        <v>5</v>
      </c>
      <c r="G36" s="8">
        <f t="shared" si="7"/>
        <v>4</v>
      </c>
      <c r="H36" s="8">
        <f t="shared" si="7"/>
        <v>0</v>
      </c>
      <c r="I36" s="8">
        <f t="shared" si="7"/>
        <v>0</v>
      </c>
      <c r="J36" s="8">
        <f t="shared" si="7"/>
        <v>0</v>
      </c>
      <c r="K36" s="8">
        <f t="shared" si="7"/>
        <v>93</v>
      </c>
      <c r="L36" s="8">
        <f t="shared" si="7"/>
        <v>77</v>
      </c>
      <c r="M36" s="8">
        <f t="shared" si="7"/>
        <v>6</v>
      </c>
      <c r="N36" s="8">
        <f t="shared" si="7"/>
        <v>6</v>
      </c>
      <c r="O36" s="8">
        <f t="shared" si="7"/>
        <v>0</v>
      </c>
      <c r="P36" s="8">
        <f t="shared" si="7"/>
        <v>0</v>
      </c>
      <c r="Q36" s="8">
        <f t="shared" si="7"/>
        <v>0</v>
      </c>
    </row>
    <row r="37" spans="1:26" x14ac:dyDescent="0.35">
      <c r="A37" s="5" t="s">
        <v>36</v>
      </c>
      <c r="B37" s="25">
        <f t="shared" si="4"/>
        <v>56</v>
      </c>
      <c r="C37" s="28">
        <f t="shared" si="5"/>
        <v>120</v>
      </c>
      <c r="D37" s="5">
        <v>25</v>
      </c>
      <c r="E37" s="5">
        <v>25</v>
      </c>
      <c r="F37" s="5">
        <v>3</v>
      </c>
      <c r="G37" s="5">
        <v>3</v>
      </c>
      <c r="H37" s="5">
        <v>0</v>
      </c>
      <c r="I37" s="29">
        <v>0</v>
      </c>
      <c r="J37" s="29">
        <v>0</v>
      </c>
      <c r="K37" s="5">
        <v>56</v>
      </c>
      <c r="L37" s="5">
        <v>56</v>
      </c>
      <c r="M37" s="5">
        <v>4</v>
      </c>
      <c r="N37" s="5">
        <v>4</v>
      </c>
      <c r="O37" s="5">
        <v>0</v>
      </c>
      <c r="P37" s="29">
        <v>0</v>
      </c>
      <c r="Q37" s="29">
        <v>0</v>
      </c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5">
      <c r="A38" s="5" t="s">
        <v>37</v>
      </c>
      <c r="B38" s="25">
        <f t="shared" si="4"/>
        <v>37</v>
      </c>
      <c r="C38" s="28">
        <f t="shared" si="5"/>
        <v>62</v>
      </c>
      <c r="D38" s="5">
        <v>20</v>
      </c>
      <c r="E38" s="5">
        <v>14</v>
      </c>
      <c r="F38" s="5">
        <v>2</v>
      </c>
      <c r="G38" s="5">
        <v>1</v>
      </c>
      <c r="H38" s="5">
        <v>0</v>
      </c>
      <c r="I38" s="29">
        <v>0</v>
      </c>
      <c r="J38" s="29">
        <v>0</v>
      </c>
      <c r="K38" s="5">
        <v>37</v>
      </c>
      <c r="L38" s="5">
        <v>21</v>
      </c>
      <c r="M38" s="5">
        <v>2</v>
      </c>
      <c r="N38" s="5">
        <v>2</v>
      </c>
      <c r="O38" s="5">
        <v>0</v>
      </c>
      <c r="P38" s="29">
        <v>0</v>
      </c>
      <c r="Q38" s="29">
        <v>0</v>
      </c>
    </row>
    <row r="39" spans="1:26" x14ac:dyDescent="0.35">
      <c r="A39" s="11" t="s">
        <v>38</v>
      </c>
      <c r="B39" s="12">
        <f t="shared" ref="B39:Q39" si="8">B4+B29+B33+B36</f>
        <v>1793</v>
      </c>
      <c r="C39" s="12">
        <f t="shared" si="8"/>
        <v>3278</v>
      </c>
      <c r="D39" s="12">
        <f t="shared" si="8"/>
        <v>1008</v>
      </c>
      <c r="E39" s="12">
        <f t="shared" si="8"/>
        <v>483</v>
      </c>
      <c r="F39" s="12">
        <f t="shared" si="8"/>
        <v>114</v>
      </c>
      <c r="G39" s="12">
        <f t="shared" si="8"/>
        <v>164</v>
      </c>
      <c r="H39" s="12">
        <f t="shared" si="8"/>
        <v>0</v>
      </c>
      <c r="I39" s="12">
        <f t="shared" si="8"/>
        <v>20</v>
      </c>
      <c r="J39" s="12">
        <f t="shared" si="8"/>
        <v>4</v>
      </c>
      <c r="K39" s="12">
        <f t="shared" si="8"/>
        <v>1837</v>
      </c>
      <c r="L39" s="12">
        <f t="shared" si="8"/>
        <v>976</v>
      </c>
      <c r="M39" s="12">
        <f t="shared" si="8"/>
        <v>203</v>
      </c>
      <c r="N39" s="12">
        <f t="shared" si="8"/>
        <v>232</v>
      </c>
      <c r="O39" s="12">
        <f t="shared" si="8"/>
        <v>0</v>
      </c>
      <c r="P39" s="12">
        <f t="shared" si="8"/>
        <v>26</v>
      </c>
      <c r="Q39" s="12">
        <f t="shared" si="8"/>
        <v>4</v>
      </c>
    </row>
    <row r="41" spans="1:26" ht="20" x14ac:dyDescent="0.35">
      <c r="A41" s="33" t="s">
        <v>39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26" ht="15" customHeight="1" x14ac:dyDescent="0.35">
      <c r="A42" s="34" t="s">
        <v>40</v>
      </c>
      <c r="B42" s="40" t="s">
        <v>6</v>
      </c>
      <c r="C42" s="40"/>
      <c r="D42" s="40" t="s">
        <v>7</v>
      </c>
      <c r="E42" s="40"/>
      <c r="F42" s="40" t="s">
        <v>8</v>
      </c>
      <c r="G42" s="40"/>
      <c r="H42" s="40" t="s">
        <v>9</v>
      </c>
      <c r="I42" s="40"/>
      <c r="J42" s="40" t="s">
        <v>41</v>
      </c>
      <c r="K42" s="40"/>
      <c r="L42" s="40" t="s">
        <v>42</v>
      </c>
      <c r="M42" s="40" t="s">
        <v>43</v>
      </c>
    </row>
    <row r="43" spans="1:26" x14ac:dyDescent="0.35">
      <c r="A43" s="34"/>
      <c r="B43" s="13" t="s">
        <v>44</v>
      </c>
      <c r="C43" s="13" t="s">
        <v>45</v>
      </c>
      <c r="D43" s="13" t="s">
        <v>44</v>
      </c>
      <c r="E43" s="13" t="s">
        <v>45</v>
      </c>
      <c r="F43" s="13" t="s">
        <v>44</v>
      </c>
      <c r="G43" s="13" t="s">
        <v>45</v>
      </c>
      <c r="H43" s="13" t="s">
        <v>44</v>
      </c>
      <c r="I43" s="13" t="s">
        <v>45</v>
      </c>
      <c r="J43" s="13" t="s">
        <v>44</v>
      </c>
      <c r="K43" s="13" t="s">
        <v>45</v>
      </c>
      <c r="L43" s="40"/>
      <c r="M43" s="40"/>
    </row>
    <row r="44" spans="1:26" x14ac:dyDescent="0.35">
      <c r="A44" s="14" t="s">
        <v>46</v>
      </c>
      <c r="B44" s="14">
        <v>915</v>
      </c>
      <c r="C44" s="14">
        <v>1839</v>
      </c>
      <c r="D44" s="14">
        <v>476</v>
      </c>
      <c r="E44" s="14">
        <v>984</v>
      </c>
      <c r="F44" s="14">
        <v>114</v>
      </c>
      <c r="G44" s="14">
        <v>222</v>
      </c>
      <c r="H44" s="14">
        <v>112</v>
      </c>
      <c r="I44" s="14">
        <v>208</v>
      </c>
      <c r="J44" s="14">
        <v>8</v>
      </c>
      <c r="K44" s="14">
        <v>22</v>
      </c>
      <c r="L44" s="14">
        <v>1625</v>
      </c>
      <c r="M44" s="14">
        <v>3275</v>
      </c>
    </row>
    <row r="45" spans="1:26" x14ac:dyDescent="0.35">
      <c r="A45" s="14" t="s">
        <v>47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3</v>
      </c>
      <c r="K45" s="14">
        <v>3</v>
      </c>
      <c r="L45" s="14">
        <v>3</v>
      </c>
      <c r="M45" s="14">
        <v>3</v>
      </c>
    </row>
    <row r="46" spans="1:26" x14ac:dyDescent="0.35">
      <c r="A46" s="16" t="s">
        <v>48</v>
      </c>
      <c r="B46" s="17">
        <f t="shared" ref="B46:M46" si="9">SUM(B44:B45)</f>
        <v>915</v>
      </c>
      <c r="C46" s="17">
        <f t="shared" si="9"/>
        <v>1839</v>
      </c>
      <c r="D46" s="17">
        <f t="shared" si="9"/>
        <v>476</v>
      </c>
      <c r="E46" s="17">
        <f t="shared" si="9"/>
        <v>984</v>
      </c>
      <c r="F46" s="17">
        <f t="shared" si="9"/>
        <v>114</v>
      </c>
      <c r="G46" s="17">
        <f t="shared" si="9"/>
        <v>222</v>
      </c>
      <c r="H46" s="17">
        <f t="shared" si="9"/>
        <v>112</v>
      </c>
      <c r="I46" s="17">
        <f t="shared" si="9"/>
        <v>208</v>
      </c>
      <c r="J46" s="17">
        <f t="shared" si="9"/>
        <v>11</v>
      </c>
      <c r="K46" s="17">
        <f t="shared" si="9"/>
        <v>25</v>
      </c>
      <c r="L46" s="17">
        <f t="shared" si="9"/>
        <v>1628</v>
      </c>
      <c r="M46" s="17">
        <f t="shared" si="9"/>
        <v>3278</v>
      </c>
    </row>
  </sheetData>
  <mergeCells count="15">
    <mergeCell ref="A1:P1"/>
    <mergeCell ref="A2:A3"/>
    <mergeCell ref="B2:B3"/>
    <mergeCell ref="C2:C3"/>
    <mergeCell ref="D2:I2"/>
    <mergeCell ref="K2:P2"/>
    <mergeCell ref="A41:M41"/>
    <mergeCell ref="A42:A43"/>
    <mergeCell ref="B42:C42"/>
    <mergeCell ref="D42:E42"/>
    <mergeCell ref="F42:G42"/>
    <mergeCell ref="H42:I42"/>
    <mergeCell ref="J42:K42"/>
    <mergeCell ref="L42:L43"/>
    <mergeCell ref="M42:M43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zoomScale="80" zoomScaleNormal="80" workbookViewId="0">
      <pane ySplit="3" topLeftCell="A28" activePane="bottomLeft" state="frozen"/>
      <selection pane="bottomLeft" activeCell="B46" sqref="B46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9" width="10.54296875" customWidth="1"/>
    <col min="10" max="11" width="7.7265625" customWidth="1"/>
    <col min="12" max="12" width="9.7265625" customWidth="1"/>
    <col min="13" max="13" width="8.81640625" customWidth="1"/>
    <col min="14" max="14" width="9.81640625" customWidth="1"/>
    <col min="15" max="17" width="9.54296875" customWidth="1"/>
  </cols>
  <sheetData>
    <row r="1" spans="1:26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1"/>
    </row>
    <row r="2" spans="1:26" ht="15" customHeight="1" x14ac:dyDescent="0.35">
      <c r="A2" s="41" t="s">
        <v>1</v>
      </c>
      <c r="B2" s="42" t="s">
        <v>86</v>
      </c>
      <c r="C2" s="43" t="s">
        <v>87</v>
      </c>
      <c r="D2" s="44" t="s">
        <v>4</v>
      </c>
      <c r="E2" s="44"/>
      <c r="F2" s="44"/>
      <c r="G2" s="44"/>
      <c r="H2" s="44"/>
      <c r="I2" s="44"/>
      <c r="J2" s="22"/>
      <c r="K2" s="44" t="s">
        <v>5</v>
      </c>
      <c r="L2" s="44"/>
      <c r="M2" s="44"/>
      <c r="N2" s="44"/>
      <c r="O2" s="44"/>
      <c r="P2" s="44"/>
      <c r="Q2" s="22"/>
    </row>
    <row r="3" spans="1:26" ht="33.15" customHeight="1" x14ac:dyDescent="0.35">
      <c r="A3" s="41"/>
      <c r="B3" s="42"/>
      <c r="C3" s="43"/>
      <c r="D3" s="22" t="s">
        <v>6</v>
      </c>
      <c r="E3" s="22" t="s">
        <v>7</v>
      </c>
      <c r="F3" s="22" t="s">
        <v>8</v>
      </c>
      <c r="G3" s="22" t="s">
        <v>9</v>
      </c>
      <c r="H3" s="22" t="s">
        <v>79</v>
      </c>
      <c r="I3" s="22" t="s">
        <v>10</v>
      </c>
      <c r="J3" s="22" t="s">
        <v>84</v>
      </c>
      <c r="K3" s="22" t="s">
        <v>6</v>
      </c>
      <c r="L3" s="22" t="s">
        <v>7</v>
      </c>
      <c r="M3" s="22" t="s">
        <v>8</v>
      </c>
      <c r="N3" s="22" t="s">
        <v>9</v>
      </c>
      <c r="O3" s="22" t="s">
        <v>79</v>
      </c>
      <c r="P3" s="22" t="s">
        <v>10</v>
      </c>
      <c r="Q3" s="22" t="s">
        <v>84</v>
      </c>
    </row>
    <row r="4" spans="1:26" x14ac:dyDescent="0.35">
      <c r="A4" s="23">
        <v>3792</v>
      </c>
      <c r="B4" s="23">
        <f>SUM(D4:J4)</f>
        <v>685</v>
      </c>
      <c r="C4" s="23">
        <f>SUM(K4:Q4)</f>
        <v>1079</v>
      </c>
      <c r="D4" s="3">
        <f t="shared" ref="D4:Q4" si="0">SUM(D5:D28)</f>
        <v>378</v>
      </c>
      <c r="E4" s="3">
        <f t="shared" si="0"/>
        <v>213</v>
      </c>
      <c r="F4" s="3">
        <f t="shared" si="0"/>
        <v>42</v>
      </c>
      <c r="G4" s="3">
        <f t="shared" si="0"/>
        <v>32</v>
      </c>
      <c r="H4" s="3">
        <f t="shared" si="0"/>
        <v>0</v>
      </c>
      <c r="I4" s="3">
        <f t="shared" si="0"/>
        <v>20</v>
      </c>
      <c r="J4" s="3">
        <f t="shared" si="0"/>
        <v>0</v>
      </c>
      <c r="K4" s="3">
        <f t="shared" si="0"/>
        <v>593</v>
      </c>
      <c r="L4" s="3">
        <f t="shared" si="0"/>
        <v>351</v>
      </c>
      <c r="M4" s="3">
        <f t="shared" si="0"/>
        <v>63</v>
      </c>
      <c r="N4" s="3">
        <f t="shared" si="0"/>
        <v>45</v>
      </c>
      <c r="O4" s="3">
        <f t="shared" si="0"/>
        <v>0</v>
      </c>
      <c r="P4" s="3">
        <f t="shared" si="0"/>
        <v>27</v>
      </c>
      <c r="Q4" s="3">
        <f t="shared" si="0"/>
        <v>0</v>
      </c>
      <c r="R4" s="4"/>
      <c r="S4" s="4"/>
      <c r="T4" s="4"/>
      <c r="U4" s="4"/>
      <c r="V4" s="4"/>
      <c r="W4" s="4"/>
      <c r="X4" s="4"/>
      <c r="Y4" s="4"/>
      <c r="Z4" s="4"/>
    </row>
    <row r="5" spans="1:26" x14ac:dyDescent="0.35">
      <c r="A5" s="5" t="s">
        <v>51</v>
      </c>
      <c r="B5" s="25">
        <f t="shared" ref="B5:B28" si="1">SUM(D5:I5)</f>
        <v>2</v>
      </c>
      <c r="C5" s="25">
        <f t="shared" ref="C5:C28" si="2">SUM(K5:P5)</f>
        <v>9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9</v>
      </c>
      <c r="Q5" s="5">
        <v>0</v>
      </c>
    </row>
    <row r="6" spans="1:26" x14ac:dyDescent="0.35">
      <c r="A6" s="5" t="s">
        <v>11</v>
      </c>
      <c r="B6" s="25">
        <f t="shared" si="1"/>
        <v>4</v>
      </c>
      <c r="C6" s="25">
        <f t="shared" si="2"/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4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4</v>
      </c>
      <c r="Q6" s="5">
        <v>0</v>
      </c>
    </row>
    <row r="7" spans="1:26" x14ac:dyDescent="0.35">
      <c r="A7" s="5" t="s">
        <v>12</v>
      </c>
      <c r="B7" s="25">
        <f t="shared" si="1"/>
        <v>2</v>
      </c>
      <c r="C7" s="25">
        <f t="shared" si="2"/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5">
        <v>0</v>
      </c>
    </row>
    <row r="8" spans="1:26" x14ac:dyDescent="0.35">
      <c r="A8" s="5" t="s">
        <v>52</v>
      </c>
      <c r="B8" s="25">
        <f t="shared" si="1"/>
        <v>1</v>
      </c>
      <c r="C8" s="25">
        <f t="shared" si="2"/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</v>
      </c>
      <c r="Q8" s="5">
        <v>0</v>
      </c>
    </row>
    <row r="9" spans="1:26" x14ac:dyDescent="0.35">
      <c r="A9" s="5" t="s">
        <v>13</v>
      </c>
      <c r="B9" s="25">
        <f t="shared" si="1"/>
        <v>29</v>
      </c>
      <c r="C9" s="25">
        <f t="shared" si="2"/>
        <v>43</v>
      </c>
      <c r="D9" s="5">
        <v>17</v>
      </c>
      <c r="E9" s="5">
        <v>11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23</v>
      </c>
      <c r="L9" s="5">
        <v>19</v>
      </c>
      <c r="M9" s="5">
        <v>1</v>
      </c>
      <c r="N9" s="5">
        <v>0</v>
      </c>
      <c r="O9" s="5">
        <v>0</v>
      </c>
      <c r="P9" s="5">
        <v>0</v>
      </c>
      <c r="Q9" s="5">
        <v>0</v>
      </c>
    </row>
    <row r="10" spans="1:26" x14ac:dyDescent="0.35">
      <c r="A10" s="5" t="s">
        <v>15</v>
      </c>
      <c r="B10" s="25">
        <f t="shared" si="1"/>
        <v>43</v>
      </c>
      <c r="C10" s="25">
        <f t="shared" si="2"/>
        <v>72</v>
      </c>
      <c r="D10" s="5">
        <v>19</v>
      </c>
      <c r="E10" s="5">
        <v>20</v>
      </c>
      <c r="F10" s="5">
        <v>2</v>
      </c>
      <c r="G10" s="5">
        <v>2</v>
      </c>
      <c r="H10" s="5">
        <v>0</v>
      </c>
      <c r="I10" s="5">
        <v>0</v>
      </c>
      <c r="J10" s="5">
        <v>0</v>
      </c>
      <c r="K10" s="5">
        <v>33</v>
      </c>
      <c r="L10" s="5">
        <v>33</v>
      </c>
      <c r="M10" s="5">
        <v>3</v>
      </c>
      <c r="N10" s="5">
        <v>3</v>
      </c>
      <c r="O10" s="5">
        <v>0</v>
      </c>
      <c r="P10" s="5">
        <v>0</v>
      </c>
      <c r="Q10" s="5">
        <v>0</v>
      </c>
    </row>
    <row r="11" spans="1:26" x14ac:dyDescent="0.35">
      <c r="A11" s="5" t="s">
        <v>16</v>
      </c>
      <c r="B11" s="25">
        <f t="shared" si="1"/>
        <v>5</v>
      </c>
      <c r="C11" s="25">
        <f t="shared" si="2"/>
        <v>5</v>
      </c>
      <c r="D11" s="5">
        <v>2</v>
      </c>
      <c r="E11" s="5">
        <v>2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2</v>
      </c>
      <c r="L11" s="5">
        <v>2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</row>
    <row r="12" spans="1:26" x14ac:dyDescent="0.35">
      <c r="A12" s="5" t="s">
        <v>17</v>
      </c>
      <c r="B12" s="25">
        <f t="shared" si="1"/>
        <v>10</v>
      </c>
      <c r="C12" s="25">
        <f t="shared" si="2"/>
        <v>17</v>
      </c>
      <c r="D12" s="5">
        <v>7</v>
      </c>
      <c r="E12" s="5">
        <v>1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11</v>
      </c>
      <c r="L12" s="5">
        <v>2</v>
      </c>
      <c r="M12" s="5">
        <v>4</v>
      </c>
      <c r="N12" s="5">
        <v>0</v>
      </c>
      <c r="O12" s="5">
        <v>0</v>
      </c>
      <c r="P12" s="5">
        <v>0</v>
      </c>
      <c r="Q12" s="5">
        <v>0</v>
      </c>
    </row>
    <row r="13" spans="1:26" x14ac:dyDescent="0.35">
      <c r="A13" s="5" t="s">
        <v>18</v>
      </c>
      <c r="B13" s="25">
        <f t="shared" si="1"/>
        <v>1</v>
      </c>
      <c r="C13" s="25">
        <f t="shared" si="2"/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</row>
    <row r="14" spans="1:26" x14ac:dyDescent="0.35">
      <c r="A14" s="5" t="s">
        <v>19</v>
      </c>
      <c r="B14" s="25">
        <f t="shared" si="1"/>
        <v>15</v>
      </c>
      <c r="C14" s="25">
        <f t="shared" si="2"/>
        <v>21</v>
      </c>
      <c r="D14" s="5">
        <v>7</v>
      </c>
      <c r="E14" s="5">
        <v>7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10</v>
      </c>
      <c r="L14" s="5">
        <v>10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</row>
    <row r="15" spans="1:26" x14ac:dyDescent="0.35">
      <c r="A15" s="5" t="s">
        <v>59</v>
      </c>
      <c r="B15" s="25">
        <f t="shared" si="1"/>
        <v>4</v>
      </c>
      <c r="C15" s="25">
        <f t="shared" si="2"/>
        <v>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5">
        <v>0</v>
      </c>
    </row>
    <row r="16" spans="1:26" x14ac:dyDescent="0.35">
      <c r="A16" s="5" t="s">
        <v>81</v>
      </c>
      <c r="B16" s="25">
        <f t="shared" si="1"/>
        <v>1</v>
      </c>
      <c r="C16" s="25">
        <f t="shared" si="2"/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0</v>
      </c>
    </row>
    <row r="17" spans="1:26" x14ac:dyDescent="0.35">
      <c r="A17" s="5" t="s">
        <v>53</v>
      </c>
      <c r="B17" s="25">
        <f t="shared" si="1"/>
        <v>1</v>
      </c>
      <c r="C17" s="25">
        <f t="shared" si="2"/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</row>
    <row r="18" spans="1:26" x14ac:dyDescent="0.35">
      <c r="A18" s="5" t="s">
        <v>20</v>
      </c>
      <c r="B18" s="25">
        <f t="shared" si="1"/>
        <v>4</v>
      </c>
      <c r="C18" s="25">
        <f t="shared" si="2"/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</v>
      </c>
      <c r="Q18" s="5">
        <v>0</v>
      </c>
    </row>
    <row r="19" spans="1:26" x14ac:dyDescent="0.35">
      <c r="A19" s="5" t="s">
        <v>21</v>
      </c>
      <c r="B19" s="25">
        <f t="shared" si="1"/>
        <v>94</v>
      </c>
      <c r="C19" s="25">
        <f t="shared" si="2"/>
        <v>144</v>
      </c>
      <c r="D19" s="5">
        <v>56</v>
      </c>
      <c r="E19" s="5">
        <v>27</v>
      </c>
      <c r="F19" s="5">
        <v>5</v>
      </c>
      <c r="G19" s="5">
        <v>6</v>
      </c>
      <c r="H19" s="5">
        <v>0</v>
      </c>
      <c r="I19" s="5">
        <v>0</v>
      </c>
      <c r="J19" s="5">
        <v>0</v>
      </c>
      <c r="K19" s="5">
        <v>87</v>
      </c>
      <c r="L19" s="5">
        <v>42</v>
      </c>
      <c r="M19" s="5">
        <v>8</v>
      </c>
      <c r="N19" s="5">
        <v>7</v>
      </c>
      <c r="O19" s="5">
        <v>0</v>
      </c>
      <c r="P19" s="5">
        <v>0</v>
      </c>
      <c r="Q19" s="5">
        <v>0</v>
      </c>
    </row>
    <row r="20" spans="1:26" x14ac:dyDescent="0.35">
      <c r="A20" s="5" t="s">
        <v>22</v>
      </c>
      <c r="B20" s="25">
        <f t="shared" si="1"/>
        <v>35</v>
      </c>
      <c r="C20" s="25">
        <f t="shared" si="2"/>
        <v>53</v>
      </c>
      <c r="D20" s="5">
        <v>24</v>
      </c>
      <c r="E20" s="5">
        <v>9</v>
      </c>
      <c r="F20" s="5">
        <v>1</v>
      </c>
      <c r="G20" s="5">
        <v>1</v>
      </c>
      <c r="H20" s="5">
        <v>0</v>
      </c>
      <c r="I20" s="5">
        <v>0</v>
      </c>
      <c r="J20" s="5">
        <v>0</v>
      </c>
      <c r="K20" s="5">
        <v>36</v>
      </c>
      <c r="L20" s="5">
        <v>14</v>
      </c>
      <c r="M20" s="5">
        <v>1</v>
      </c>
      <c r="N20" s="5">
        <v>2</v>
      </c>
      <c r="O20" s="5">
        <v>0</v>
      </c>
      <c r="P20" s="5">
        <v>0</v>
      </c>
      <c r="Q20" s="5">
        <v>0</v>
      </c>
    </row>
    <row r="21" spans="1:26" x14ac:dyDescent="0.35">
      <c r="A21" s="5" t="s">
        <v>23</v>
      </c>
      <c r="B21" s="25">
        <f t="shared" si="1"/>
        <v>113</v>
      </c>
      <c r="C21" s="25">
        <f t="shared" si="2"/>
        <v>186</v>
      </c>
      <c r="D21" s="5">
        <v>68</v>
      </c>
      <c r="E21" s="5">
        <v>32</v>
      </c>
      <c r="F21" s="5">
        <v>8</v>
      </c>
      <c r="G21" s="5">
        <v>5</v>
      </c>
      <c r="H21" s="5">
        <v>0</v>
      </c>
      <c r="I21" s="5">
        <v>0</v>
      </c>
      <c r="J21" s="5">
        <v>0</v>
      </c>
      <c r="K21" s="5">
        <v>113</v>
      </c>
      <c r="L21" s="5">
        <v>54</v>
      </c>
      <c r="M21" s="5">
        <v>12</v>
      </c>
      <c r="N21" s="5">
        <v>7</v>
      </c>
      <c r="O21" s="5">
        <v>0</v>
      </c>
      <c r="P21" s="5">
        <v>0</v>
      </c>
      <c r="Q21" s="5">
        <v>0</v>
      </c>
    </row>
    <row r="22" spans="1:26" x14ac:dyDescent="0.35">
      <c r="A22" s="5" t="s">
        <v>24</v>
      </c>
      <c r="B22" s="25">
        <f t="shared" si="1"/>
        <v>17</v>
      </c>
      <c r="C22" s="25">
        <f t="shared" si="2"/>
        <v>29</v>
      </c>
      <c r="D22" s="5">
        <v>8</v>
      </c>
      <c r="E22" s="5">
        <v>7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12</v>
      </c>
      <c r="L22" s="5">
        <v>12</v>
      </c>
      <c r="M22" s="5">
        <v>5</v>
      </c>
      <c r="N22" s="5">
        <v>0</v>
      </c>
      <c r="O22" s="5">
        <v>0</v>
      </c>
      <c r="P22" s="5">
        <v>0</v>
      </c>
      <c r="Q22" s="5">
        <v>0</v>
      </c>
    </row>
    <row r="23" spans="1:26" x14ac:dyDescent="0.35">
      <c r="A23" s="5" t="s">
        <v>25</v>
      </c>
      <c r="B23" s="25">
        <f t="shared" si="1"/>
        <v>68</v>
      </c>
      <c r="C23" s="25">
        <f t="shared" si="2"/>
        <v>104</v>
      </c>
      <c r="D23" s="5">
        <v>34</v>
      </c>
      <c r="E23" s="5">
        <v>21</v>
      </c>
      <c r="F23" s="5">
        <v>8</v>
      </c>
      <c r="G23" s="5">
        <v>5</v>
      </c>
      <c r="H23" s="5">
        <v>0</v>
      </c>
      <c r="I23" s="5">
        <v>0</v>
      </c>
      <c r="J23" s="5">
        <v>0</v>
      </c>
      <c r="K23" s="5">
        <v>50</v>
      </c>
      <c r="L23" s="5">
        <v>37</v>
      </c>
      <c r="M23" s="5">
        <v>9</v>
      </c>
      <c r="N23" s="5">
        <v>8</v>
      </c>
      <c r="O23" s="5">
        <v>0</v>
      </c>
      <c r="P23" s="5">
        <v>0</v>
      </c>
      <c r="Q23" s="5">
        <v>0</v>
      </c>
    </row>
    <row r="24" spans="1:26" x14ac:dyDescent="0.35">
      <c r="A24" s="5" t="s">
        <v>26</v>
      </c>
      <c r="B24" s="25">
        <f t="shared" si="1"/>
        <v>48</v>
      </c>
      <c r="C24" s="25">
        <f t="shared" si="2"/>
        <v>73</v>
      </c>
      <c r="D24" s="5">
        <v>25</v>
      </c>
      <c r="E24" s="5">
        <v>20</v>
      </c>
      <c r="F24" s="5">
        <v>2</v>
      </c>
      <c r="G24" s="5">
        <v>1</v>
      </c>
      <c r="H24" s="5">
        <v>0</v>
      </c>
      <c r="I24" s="5">
        <v>0</v>
      </c>
      <c r="J24" s="5">
        <v>0</v>
      </c>
      <c r="K24" s="5">
        <v>38</v>
      </c>
      <c r="L24" s="5">
        <v>32</v>
      </c>
      <c r="M24" s="5">
        <v>2</v>
      </c>
      <c r="N24" s="5">
        <v>1</v>
      </c>
      <c r="O24" s="5">
        <v>0</v>
      </c>
      <c r="P24" s="5">
        <v>0</v>
      </c>
      <c r="Q24" s="5">
        <v>0</v>
      </c>
    </row>
    <row r="25" spans="1:26" x14ac:dyDescent="0.35">
      <c r="A25" s="5" t="s">
        <v>27</v>
      </c>
      <c r="B25" s="25">
        <f t="shared" si="1"/>
        <v>30</v>
      </c>
      <c r="C25" s="25">
        <f t="shared" si="2"/>
        <v>45</v>
      </c>
      <c r="D25" s="5">
        <v>15</v>
      </c>
      <c r="E25" s="5">
        <v>8</v>
      </c>
      <c r="F25" s="5">
        <v>3</v>
      </c>
      <c r="G25" s="5">
        <v>4</v>
      </c>
      <c r="H25" s="5">
        <v>0</v>
      </c>
      <c r="I25" s="5">
        <v>0</v>
      </c>
      <c r="J25" s="5">
        <v>0</v>
      </c>
      <c r="K25" s="5">
        <v>21</v>
      </c>
      <c r="L25" s="5">
        <v>13</v>
      </c>
      <c r="M25" s="5">
        <v>5</v>
      </c>
      <c r="N25" s="5">
        <v>6</v>
      </c>
      <c r="O25" s="5">
        <v>0</v>
      </c>
      <c r="P25" s="5">
        <v>0</v>
      </c>
      <c r="Q25" s="5">
        <v>0</v>
      </c>
    </row>
    <row r="26" spans="1:26" x14ac:dyDescent="0.35">
      <c r="A26" s="5" t="s">
        <v>28</v>
      </c>
      <c r="B26" s="25">
        <f t="shared" si="1"/>
        <v>78</v>
      </c>
      <c r="C26" s="25">
        <f t="shared" si="2"/>
        <v>130</v>
      </c>
      <c r="D26" s="5">
        <v>49</v>
      </c>
      <c r="E26" s="5">
        <v>24</v>
      </c>
      <c r="F26" s="5">
        <v>2</v>
      </c>
      <c r="G26" s="5">
        <v>3</v>
      </c>
      <c r="H26" s="5">
        <v>0</v>
      </c>
      <c r="I26" s="5">
        <v>0</v>
      </c>
      <c r="J26" s="5">
        <v>0</v>
      </c>
      <c r="K26" s="5">
        <v>79</v>
      </c>
      <c r="L26" s="5">
        <v>42</v>
      </c>
      <c r="M26" s="5">
        <v>3</v>
      </c>
      <c r="N26" s="5">
        <v>6</v>
      </c>
      <c r="O26" s="5">
        <v>0</v>
      </c>
      <c r="P26" s="5">
        <v>0</v>
      </c>
      <c r="Q26" s="5">
        <v>0</v>
      </c>
    </row>
    <row r="27" spans="1:26" x14ac:dyDescent="0.35">
      <c r="A27" s="5" t="s">
        <v>29</v>
      </c>
      <c r="B27" s="25">
        <f t="shared" si="1"/>
        <v>18</v>
      </c>
      <c r="C27" s="25">
        <f t="shared" si="2"/>
        <v>26</v>
      </c>
      <c r="D27" s="5">
        <v>8</v>
      </c>
      <c r="E27" s="5">
        <v>8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11</v>
      </c>
      <c r="L27" s="5">
        <v>12</v>
      </c>
      <c r="M27" s="5">
        <v>2</v>
      </c>
      <c r="N27" s="5">
        <v>1</v>
      </c>
      <c r="O27" s="5">
        <v>0</v>
      </c>
      <c r="P27" s="5">
        <v>0</v>
      </c>
      <c r="Q27" s="5">
        <v>0</v>
      </c>
    </row>
    <row r="28" spans="1:26" x14ac:dyDescent="0.35">
      <c r="A28" s="5" t="s">
        <v>30</v>
      </c>
      <c r="B28" s="25">
        <f t="shared" si="1"/>
        <v>62</v>
      </c>
      <c r="C28" s="25">
        <f t="shared" si="2"/>
        <v>104</v>
      </c>
      <c r="D28" s="5">
        <v>39</v>
      </c>
      <c r="E28" s="5">
        <v>16</v>
      </c>
      <c r="F28" s="5">
        <v>4</v>
      </c>
      <c r="G28" s="5">
        <v>3</v>
      </c>
      <c r="H28" s="5">
        <v>0</v>
      </c>
      <c r="I28" s="5">
        <v>0</v>
      </c>
      <c r="J28" s="5">
        <v>0</v>
      </c>
      <c r="K28" s="5">
        <v>67</v>
      </c>
      <c r="L28" s="5">
        <v>27</v>
      </c>
      <c r="M28" s="5">
        <v>7</v>
      </c>
      <c r="N28" s="5">
        <v>3</v>
      </c>
      <c r="O28" s="5">
        <v>0</v>
      </c>
      <c r="P28" s="5">
        <v>0</v>
      </c>
      <c r="Q28" s="5">
        <v>0</v>
      </c>
    </row>
    <row r="29" spans="1:26" x14ac:dyDescent="0.35">
      <c r="A29" s="26">
        <v>3794</v>
      </c>
      <c r="B29" s="27">
        <f t="shared" ref="B29:Q29" si="3">SUM(B30:B32)</f>
        <v>136</v>
      </c>
      <c r="C29" s="27">
        <f t="shared" si="3"/>
        <v>228</v>
      </c>
      <c r="D29" s="8">
        <f t="shared" si="3"/>
        <v>75</v>
      </c>
      <c r="E29" s="8">
        <f t="shared" si="3"/>
        <v>34</v>
      </c>
      <c r="F29" s="8">
        <f t="shared" si="3"/>
        <v>3</v>
      </c>
      <c r="G29" s="8">
        <f t="shared" si="3"/>
        <v>24</v>
      </c>
      <c r="H29" s="8">
        <f t="shared" si="3"/>
        <v>0</v>
      </c>
      <c r="I29" s="8">
        <f t="shared" si="3"/>
        <v>0</v>
      </c>
      <c r="J29" s="8">
        <f t="shared" si="3"/>
        <v>0</v>
      </c>
      <c r="K29" s="8">
        <f t="shared" si="3"/>
        <v>129</v>
      </c>
      <c r="L29" s="8">
        <f t="shared" si="3"/>
        <v>54</v>
      </c>
      <c r="M29" s="8">
        <f t="shared" si="3"/>
        <v>5</v>
      </c>
      <c r="N29" s="8">
        <f t="shared" si="3"/>
        <v>40</v>
      </c>
      <c r="O29" s="8">
        <f t="shared" si="3"/>
        <v>0</v>
      </c>
      <c r="P29" s="8">
        <f t="shared" si="3"/>
        <v>0</v>
      </c>
      <c r="Q29" s="8">
        <f t="shared" si="3"/>
        <v>0</v>
      </c>
    </row>
    <row r="30" spans="1:26" x14ac:dyDescent="0.35">
      <c r="A30" s="5" t="s">
        <v>31</v>
      </c>
      <c r="B30" s="28">
        <f t="shared" ref="B30:B38" si="4">SUM(D30:I30)</f>
        <v>34</v>
      </c>
      <c r="C30" s="28">
        <f t="shared" ref="C30:C38" si="5">SUM(K30:P30)</f>
        <v>57</v>
      </c>
      <c r="D30" s="5">
        <v>24</v>
      </c>
      <c r="E30" s="5">
        <v>6</v>
      </c>
      <c r="F30" s="5">
        <v>1</v>
      </c>
      <c r="G30" s="5">
        <v>3</v>
      </c>
      <c r="H30" s="5">
        <v>0</v>
      </c>
      <c r="I30" s="29">
        <v>0</v>
      </c>
      <c r="J30" s="29">
        <v>0</v>
      </c>
      <c r="K30" s="5">
        <v>42</v>
      </c>
      <c r="L30" s="5">
        <v>9</v>
      </c>
      <c r="M30" s="5">
        <v>1</v>
      </c>
      <c r="N30" s="5">
        <v>5</v>
      </c>
      <c r="O30" s="5">
        <v>0</v>
      </c>
      <c r="P30" s="29">
        <v>0</v>
      </c>
      <c r="Q30" s="29">
        <v>0</v>
      </c>
    </row>
    <row r="31" spans="1:26" x14ac:dyDescent="0.35">
      <c r="A31" s="5" t="s">
        <v>32</v>
      </c>
      <c r="B31" s="28">
        <f t="shared" si="4"/>
        <v>38</v>
      </c>
      <c r="C31" s="28">
        <f t="shared" si="5"/>
        <v>60</v>
      </c>
      <c r="D31" s="5">
        <v>23</v>
      </c>
      <c r="E31" s="5">
        <v>13</v>
      </c>
      <c r="F31" s="5"/>
      <c r="G31" s="5">
        <v>2</v>
      </c>
      <c r="H31" s="5">
        <v>0</v>
      </c>
      <c r="I31" s="29">
        <v>0</v>
      </c>
      <c r="J31" s="29">
        <v>0</v>
      </c>
      <c r="K31" s="5">
        <v>36</v>
      </c>
      <c r="L31" s="5">
        <v>21</v>
      </c>
      <c r="M31" s="5">
        <v>0</v>
      </c>
      <c r="N31" s="5">
        <v>3</v>
      </c>
      <c r="O31" s="5">
        <v>0</v>
      </c>
      <c r="P31" s="29">
        <v>0</v>
      </c>
      <c r="Q31" s="29">
        <v>0</v>
      </c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5">
      <c r="A32" s="5" t="s">
        <v>33</v>
      </c>
      <c r="B32" s="28">
        <f t="shared" si="4"/>
        <v>64</v>
      </c>
      <c r="C32" s="28">
        <f t="shared" si="5"/>
        <v>111</v>
      </c>
      <c r="D32" s="5">
        <v>28</v>
      </c>
      <c r="E32" s="5">
        <v>15</v>
      </c>
      <c r="F32" s="5">
        <v>2</v>
      </c>
      <c r="G32" s="5">
        <v>19</v>
      </c>
      <c r="H32" s="5">
        <v>0</v>
      </c>
      <c r="I32" s="29">
        <v>0</v>
      </c>
      <c r="J32" s="29">
        <v>0</v>
      </c>
      <c r="K32" s="5">
        <v>51</v>
      </c>
      <c r="L32" s="5">
        <v>24</v>
      </c>
      <c r="M32" s="5">
        <v>4</v>
      </c>
      <c r="N32" s="5">
        <v>32</v>
      </c>
      <c r="O32" s="5">
        <v>0</v>
      </c>
      <c r="P32" s="29">
        <v>0</v>
      </c>
      <c r="Q32" s="29">
        <v>0</v>
      </c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35">
      <c r="A33" s="26">
        <v>3795</v>
      </c>
      <c r="B33" s="27">
        <f t="shared" si="4"/>
        <v>87</v>
      </c>
      <c r="C33" s="27">
        <f t="shared" si="5"/>
        <v>137</v>
      </c>
      <c r="D33" s="8">
        <f t="shared" ref="D33:Q33" si="6">SUM(D34:D35)</f>
        <v>31</v>
      </c>
      <c r="E33" s="8">
        <f t="shared" si="6"/>
        <v>15</v>
      </c>
      <c r="F33" s="8">
        <f t="shared" si="6"/>
        <v>13</v>
      </c>
      <c r="G33" s="8">
        <f t="shared" si="6"/>
        <v>28</v>
      </c>
      <c r="H33" s="8">
        <f t="shared" si="6"/>
        <v>0</v>
      </c>
      <c r="I33" s="8">
        <f t="shared" si="6"/>
        <v>0</v>
      </c>
      <c r="J33" s="8">
        <f t="shared" si="6"/>
        <v>0</v>
      </c>
      <c r="K33" s="8">
        <f t="shared" si="6"/>
        <v>48</v>
      </c>
      <c r="L33" s="8">
        <f t="shared" si="6"/>
        <v>23</v>
      </c>
      <c r="M33" s="8">
        <f t="shared" si="6"/>
        <v>28</v>
      </c>
      <c r="N33" s="8">
        <f t="shared" si="6"/>
        <v>38</v>
      </c>
      <c r="O33" s="8">
        <f t="shared" si="6"/>
        <v>0</v>
      </c>
      <c r="P33" s="8">
        <f t="shared" si="6"/>
        <v>0</v>
      </c>
      <c r="Q33" s="8">
        <f t="shared" si="6"/>
        <v>0</v>
      </c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5">
      <c r="A34" s="5" t="s">
        <v>34</v>
      </c>
      <c r="B34" s="28">
        <f t="shared" si="4"/>
        <v>25</v>
      </c>
      <c r="C34" s="28">
        <f t="shared" si="5"/>
        <v>43</v>
      </c>
      <c r="D34" s="5">
        <v>11</v>
      </c>
      <c r="E34" s="5">
        <v>5</v>
      </c>
      <c r="F34" s="5">
        <v>2</v>
      </c>
      <c r="G34" s="5">
        <v>7</v>
      </c>
      <c r="H34" s="5">
        <v>0</v>
      </c>
      <c r="I34" s="29">
        <v>0</v>
      </c>
      <c r="J34" s="29">
        <v>0</v>
      </c>
      <c r="K34" s="5">
        <v>18</v>
      </c>
      <c r="L34" s="5">
        <v>9</v>
      </c>
      <c r="M34" s="5">
        <v>6</v>
      </c>
      <c r="N34" s="5">
        <v>10</v>
      </c>
      <c r="O34" s="5">
        <v>0</v>
      </c>
      <c r="P34" s="29">
        <v>0</v>
      </c>
      <c r="Q34" s="29">
        <v>0</v>
      </c>
    </row>
    <row r="35" spans="1:26" x14ac:dyDescent="0.35">
      <c r="A35" s="5" t="s">
        <v>35</v>
      </c>
      <c r="B35" s="28">
        <f t="shared" si="4"/>
        <v>62</v>
      </c>
      <c r="C35" s="28">
        <f t="shared" si="5"/>
        <v>94</v>
      </c>
      <c r="D35" s="5">
        <v>20</v>
      </c>
      <c r="E35" s="5">
        <v>10</v>
      </c>
      <c r="F35" s="5">
        <v>11</v>
      </c>
      <c r="G35" s="5">
        <v>21</v>
      </c>
      <c r="H35" s="5">
        <v>0</v>
      </c>
      <c r="I35" s="29">
        <v>0</v>
      </c>
      <c r="J35" s="29">
        <v>0</v>
      </c>
      <c r="K35" s="5">
        <v>30</v>
      </c>
      <c r="L35" s="5">
        <v>14</v>
      </c>
      <c r="M35" s="5">
        <v>22</v>
      </c>
      <c r="N35" s="5">
        <v>28</v>
      </c>
      <c r="O35" s="5">
        <v>0</v>
      </c>
      <c r="P35" s="29">
        <v>0</v>
      </c>
      <c r="Q35" s="29">
        <v>0</v>
      </c>
    </row>
    <row r="36" spans="1:26" x14ac:dyDescent="0.35">
      <c r="A36" s="26">
        <v>3791</v>
      </c>
      <c r="B36" s="27">
        <f t="shared" si="4"/>
        <v>90</v>
      </c>
      <c r="C36" s="27">
        <f t="shared" si="5"/>
        <v>141</v>
      </c>
      <c r="D36" s="8">
        <f t="shared" ref="D36:Q36" si="7">SUM(D37:D38)</f>
        <v>48</v>
      </c>
      <c r="E36" s="8">
        <f t="shared" si="7"/>
        <v>33</v>
      </c>
      <c r="F36" s="8">
        <f t="shared" si="7"/>
        <v>4</v>
      </c>
      <c r="G36" s="8">
        <f t="shared" si="7"/>
        <v>5</v>
      </c>
      <c r="H36" s="8">
        <f t="shared" si="7"/>
        <v>0</v>
      </c>
      <c r="I36" s="8">
        <f t="shared" si="7"/>
        <v>0</v>
      </c>
      <c r="J36" s="8">
        <f t="shared" si="7"/>
        <v>0</v>
      </c>
      <c r="K36" s="8">
        <f t="shared" si="7"/>
        <v>75</v>
      </c>
      <c r="L36" s="8">
        <f t="shared" si="7"/>
        <v>53</v>
      </c>
      <c r="M36" s="8">
        <f t="shared" si="7"/>
        <v>7</v>
      </c>
      <c r="N36" s="8">
        <f t="shared" si="7"/>
        <v>6</v>
      </c>
      <c r="O36" s="8">
        <f t="shared" si="7"/>
        <v>0</v>
      </c>
      <c r="P36" s="8">
        <f t="shared" si="7"/>
        <v>0</v>
      </c>
      <c r="Q36" s="8">
        <f t="shared" si="7"/>
        <v>0</v>
      </c>
    </row>
    <row r="37" spans="1:26" x14ac:dyDescent="0.35">
      <c r="A37" s="5" t="s">
        <v>36</v>
      </c>
      <c r="B37" s="25">
        <f t="shared" si="4"/>
        <v>55</v>
      </c>
      <c r="C37" s="28">
        <f t="shared" si="5"/>
        <v>91</v>
      </c>
      <c r="D37" s="5">
        <v>28</v>
      </c>
      <c r="E37" s="5">
        <v>21</v>
      </c>
      <c r="F37" s="5">
        <v>3</v>
      </c>
      <c r="G37" s="5">
        <v>3</v>
      </c>
      <c r="H37" s="5">
        <v>0</v>
      </c>
      <c r="I37" s="29">
        <v>0</v>
      </c>
      <c r="J37" s="29">
        <v>0</v>
      </c>
      <c r="K37" s="5">
        <v>47</v>
      </c>
      <c r="L37" s="5">
        <v>35</v>
      </c>
      <c r="M37" s="5">
        <v>6</v>
      </c>
      <c r="N37" s="5">
        <v>3</v>
      </c>
      <c r="O37" s="5">
        <v>0</v>
      </c>
      <c r="P37" s="29">
        <v>0</v>
      </c>
      <c r="Q37" s="29">
        <v>0</v>
      </c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5">
      <c r="A38" s="5" t="s">
        <v>37</v>
      </c>
      <c r="B38" s="25">
        <f t="shared" si="4"/>
        <v>35</v>
      </c>
      <c r="C38" s="28">
        <f t="shared" si="5"/>
        <v>50</v>
      </c>
      <c r="D38" s="5">
        <v>20</v>
      </c>
      <c r="E38" s="5">
        <v>12</v>
      </c>
      <c r="F38" s="5">
        <v>1</v>
      </c>
      <c r="G38" s="5">
        <v>2</v>
      </c>
      <c r="H38" s="5">
        <v>0</v>
      </c>
      <c r="I38" s="29">
        <v>0</v>
      </c>
      <c r="J38" s="29">
        <v>0</v>
      </c>
      <c r="K38" s="5">
        <v>28</v>
      </c>
      <c r="L38" s="5">
        <v>18</v>
      </c>
      <c r="M38" s="5">
        <v>1</v>
      </c>
      <c r="N38" s="5">
        <v>3</v>
      </c>
      <c r="O38" s="5">
        <v>0</v>
      </c>
      <c r="P38" s="29">
        <v>0</v>
      </c>
      <c r="Q38" s="29">
        <v>0</v>
      </c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35">
      <c r="A39" s="11" t="s">
        <v>38</v>
      </c>
      <c r="B39" s="12">
        <f t="shared" ref="B39:Q39" si="8">B4+B29+B33+B36</f>
        <v>998</v>
      </c>
      <c r="C39" s="12">
        <f t="shared" si="8"/>
        <v>1585</v>
      </c>
      <c r="D39" s="12">
        <f t="shared" si="8"/>
        <v>532</v>
      </c>
      <c r="E39" s="12">
        <f t="shared" si="8"/>
        <v>295</v>
      </c>
      <c r="F39" s="12">
        <f t="shared" si="8"/>
        <v>62</v>
      </c>
      <c r="G39" s="12">
        <f t="shared" si="8"/>
        <v>89</v>
      </c>
      <c r="H39" s="12">
        <f t="shared" si="8"/>
        <v>0</v>
      </c>
      <c r="I39" s="12">
        <f t="shared" si="8"/>
        <v>20</v>
      </c>
      <c r="J39" s="12">
        <f t="shared" si="8"/>
        <v>0</v>
      </c>
      <c r="K39" s="12">
        <f t="shared" si="8"/>
        <v>845</v>
      </c>
      <c r="L39" s="12">
        <f t="shared" si="8"/>
        <v>481</v>
      </c>
      <c r="M39" s="12">
        <f t="shared" si="8"/>
        <v>103</v>
      </c>
      <c r="N39" s="12">
        <f t="shared" si="8"/>
        <v>129</v>
      </c>
      <c r="O39" s="12">
        <f t="shared" si="8"/>
        <v>0</v>
      </c>
      <c r="P39" s="12">
        <f t="shared" si="8"/>
        <v>27</v>
      </c>
      <c r="Q39" s="12">
        <f t="shared" si="8"/>
        <v>0</v>
      </c>
    </row>
    <row r="41" spans="1:26" ht="20" x14ac:dyDescent="0.35">
      <c r="A41" s="33" t="s">
        <v>39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26" ht="15" customHeight="1" x14ac:dyDescent="0.35">
      <c r="A42" s="34" t="s">
        <v>40</v>
      </c>
      <c r="B42" s="40" t="s">
        <v>6</v>
      </c>
      <c r="C42" s="40"/>
      <c r="D42" s="40" t="s">
        <v>7</v>
      </c>
      <c r="E42" s="40"/>
      <c r="F42" s="40" t="s">
        <v>8</v>
      </c>
      <c r="G42" s="40"/>
      <c r="H42" s="40" t="s">
        <v>9</v>
      </c>
      <c r="I42" s="40"/>
      <c r="J42" s="40" t="s">
        <v>41</v>
      </c>
      <c r="K42" s="40"/>
      <c r="L42" s="40" t="s">
        <v>42</v>
      </c>
      <c r="M42" s="40" t="s">
        <v>43</v>
      </c>
    </row>
    <row r="43" spans="1:26" x14ac:dyDescent="0.35">
      <c r="A43" s="34"/>
      <c r="B43" s="13" t="s">
        <v>44</v>
      </c>
      <c r="C43" s="13" t="s">
        <v>45</v>
      </c>
      <c r="D43" s="13" t="s">
        <v>44</v>
      </c>
      <c r="E43" s="13" t="s">
        <v>45</v>
      </c>
      <c r="F43" s="13" t="s">
        <v>44</v>
      </c>
      <c r="G43" s="13" t="s">
        <v>45</v>
      </c>
      <c r="H43" s="13" t="s">
        <v>44</v>
      </c>
      <c r="I43" s="13" t="s">
        <v>45</v>
      </c>
      <c r="J43" s="13" t="s">
        <v>44</v>
      </c>
      <c r="K43" s="13" t="s">
        <v>45</v>
      </c>
      <c r="L43" s="40"/>
      <c r="M43" s="40"/>
    </row>
    <row r="44" spans="1:26" x14ac:dyDescent="0.35">
      <c r="A44" s="14" t="s">
        <v>46</v>
      </c>
      <c r="B44" s="14">
        <v>479</v>
      </c>
      <c r="C44" s="14">
        <v>847</v>
      </c>
      <c r="D44" s="14">
        <v>259</v>
      </c>
      <c r="E44" s="14">
        <v>471</v>
      </c>
      <c r="F44" s="14">
        <v>58</v>
      </c>
      <c r="G44" s="14">
        <v>107</v>
      </c>
      <c r="H44" s="14">
        <v>86</v>
      </c>
      <c r="I44" s="14">
        <v>133</v>
      </c>
      <c r="J44" s="14">
        <v>8</v>
      </c>
      <c r="K44" s="14">
        <v>23</v>
      </c>
      <c r="L44" s="14">
        <v>890</v>
      </c>
      <c r="M44" s="14">
        <v>1581</v>
      </c>
    </row>
    <row r="45" spans="1:26" x14ac:dyDescent="0.35">
      <c r="A45" s="14" t="s">
        <v>47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4</v>
      </c>
      <c r="K45" s="14">
        <v>4</v>
      </c>
      <c r="L45" s="14">
        <v>4</v>
      </c>
      <c r="M45" s="14">
        <v>4</v>
      </c>
    </row>
    <row r="46" spans="1:26" x14ac:dyDescent="0.35">
      <c r="A46" s="16" t="s">
        <v>48</v>
      </c>
      <c r="B46" s="17">
        <f t="shared" ref="B46:M46" si="9">SUM(B44:B45)</f>
        <v>479</v>
      </c>
      <c r="C46" s="17">
        <f t="shared" si="9"/>
        <v>847</v>
      </c>
      <c r="D46" s="17">
        <f t="shared" si="9"/>
        <v>259</v>
      </c>
      <c r="E46" s="17">
        <f t="shared" si="9"/>
        <v>471</v>
      </c>
      <c r="F46" s="17">
        <f t="shared" si="9"/>
        <v>58</v>
      </c>
      <c r="G46" s="17">
        <f t="shared" si="9"/>
        <v>107</v>
      </c>
      <c r="H46" s="17">
        <f t="shared" si="9"/>
        <v>86</v>
      </c>
      <c r="I46" s="17">
        <f t="shared" si="9"/>
        <v>133</v>
      </c>
      <c r="J46" s="17">
        <f t="shared" si="9"/>
        <v>12</v>
      </c>
      <c r="K46" s="17">
        <f t="shared" si="9"/>
        <v>27</v>
      </c>
      <c r="L46" s="17">
        <f t="shared" si="9"/>
        <v>894</v>
      </c>
      <c r="M46" s="17">
        <f t="shared" si="9"/>
        <v>1585</v>
      </c>
    </row>
  </sheetData>
  <mergeCells count="15">
    <mergeCell ref="A1:P1"/>
    <mergeCell ref="A2:A3"/>
    <mergeCell ref="B2:B3"/>
    <mergeCell ref="C2:C3"/>
    <mergeCell ref="D2:I2"/>
    <mergeCell ref="K2:P2"/>
    <mergeCell ref="A41:M41"/>
    <mergeCell ref="A42:A43"/>
    <mergeCell ref="B42:C42"/>
    <mergeCell ref="D42:E42"/>
    <mergeCell ref="F42:G42"/>
    <mergeCell ref="H42:I42"/>
    <mergeCell ref="J42:K42"/>
    <mergeCell ref="L42:L43"/>
    <mergeCell ref="M42:M43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zoomScale="80" zoomScaleNormal="80" workbookViewId="0">
      <pane ySplit="3" topLeftCell="A16" activePane="bottomLeft" state="frozen"/>
      <selection pane="bottomLeft" activeCell="I35" sqref="I35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9" width="10.54296875" customWidth="1"/>
    <col min="10" max="11" width="7.7265625" customWidth="1"/>
    <col min="12" max="12" width="9.7265625" customWidth="1"/>
    <col min="13" max="13" width="8.81640625" customWidth="1"/>
    <col min="14" max="14" width="9.81640625" customWidth="1"/>
    <col min="15" max="17" width="9.54296875" customWidth="1"/>
  </cols>
  <sheetData>
    <row r="1" spans="1:26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1"/>
    </row>
    <row r="2" spans="1:26" ht="15" customHeight="1" x14ac:dyDescent="0.35">
      <c r="A2" s="41" t="s">
        <v>1</v>
      </c>
      <c r="B2" s="42" t="s">
        <v>88</v>
      </c>
      <c r="C2" s="43" t="s">
        <v>89</v>
      </c>
      <c r="D2" s="44" t="s">
        <v>4</v>
      </c>
      <c r="E2" s="44"/>
      <c r="F2" s="44"/>
      <c r="G2" s="44"/>
      <c r="H2" s="44"/>
      <c r="I2" s="44"/>
      <c r="J2" s="44"/>
      <c r="K2" s="44" t="s">
        <v>5</v>
      </c>
      <c r="L2" s="44"/>
      <c r="M2" s="44"/>
      <c r="N2" s="44"/>
      <c r="O2" s="44"/>
      <c r="P2" s="44"/>
      <c r="Q2" s="22"/>
    </row>
    <row r="3" spans="1:26" ht="33.15" customHeight="1" x14ac:dyDescent="0.35">
      <c r="A3" s="41"/>
      <c r="B3" s="42"/>
      <c r="C3" s="43"/>
      <c r="D3" s="22" t="s">
        <v>6</v>
      </c>
      <c r="E3" s="22" t="s">
        <v>7</v>
      </c>
      <c r="F3" s="22" t="s">
        <v>8</v>
      </c>
      <c r="G3" s="22" t="s">
        <v>9</v>
      </c>
      <c r="H3" s="22" t="s">
        <v>79</v>
      </c>
      <c r="I3" s="22" t="s">
        <v>10</v>
      </c>
      <c r="J3" s="22" t="s">
        <v>84</v>
      </c>
      <c r="K3" s="22" t="s">
        <v>6</v>
      </c>
      <c r="L3" s="22" t="s">
        <v>7</v>
      </c>
      <c r="M3" s="22" t="s">
        <v>8</v>
      </c>
      <c r="N3" s="22" t="s">
        <v>9</v>
      </c>
      <c r="O3" s="22" t="s">
        <v>79</v>
      </c>
      <c r="P3" s="22" t="s">
        <v>10</v>
      </c>
      <c r="Q3" s="22" t="s">
        <v>84</v>
      </c>
    </row>
    <row r="4" spans="1:26" x14ac:dyDescent="0.35">
      <c r="A4" s="23">
        <v>3792</v>
      </c>
      <c r="B4" s="23">
        <f>SUM(D4:J4)</f>
        <v>902</v>
      </c>
      <c r="C4" s="23">
        <f>SUM(K4:Q4)</f>
        <v>1251</v>
      </c>
      <c r="D4" s="3">
        <f t="shared" ref="D4:Q4" si="0">SUM(D5:D30)</f>
        <v>528</v>
      </c>
      <c r="E4" s="3">
        <f t="shared" si="0"/>
        <v>271</v>
      </c>
      <c r="F4" s="3">
        <f t="shared" si="0"/>
        <v>41</v>
      </c>
      <c r="G4" s="3">
        <f t="shared" si="0"/>
        <v>46</v>
      </c>
      <c r="H4" s="3">
        <f t="shared" si="0"/>
        <v>0</v>
      </c>
      <c r="I4" s="3">
        <f t="shared" si="0"/>
        <v>15</v>
      </c>
      <c r="J4" s="3">
        <f t="shared" si="0"/>
        <v>1</v>
      </c>
      <c r="K4" s="3">
        <f t="shared" si="0"/>
        <v>715</v>
      </c>
      <c r="L4" s="3">
        <f t="shared" si="0"/>
        <v>390</v>
      </c>
      <c r="M4" s="3">
        <f t="shared" si="0"/>
        <v>65</v>
      </c>
      <c r="N4" s="3">
        <f t="shared" si="0"/>
        <v>58</v>
      </c>
      <c r="O4" s="3">
        <f t="shared" si="0"/>
        <v>0</v>
      </c>
      <c r="P4" s="3">
        <f t="shared" si="0"/>
        <v>22</v>
      </c>
      <c r="Q4" s="3">
        <f t="shared" si="0"/>
        <v>1</v>
      </c>
      <c r="R4" s="4"/>
      <c r="S4" s="4"/>
      <c r="T4" s="4"/>
      <c r="U4" s="4"/>
      <c r="V4" s="4"/>
      <c r="W4" s="4"/>
      <c r="X4" s="4"/>
      <c r="Y4" s="4"/>
      <c r="Z4" s="4"/>
    </row>
    <row r="5" spans="1:26" x14ac:dyDescent="0.35">
      <c r="A5" s="5" t="s">
        <v>51</v>
      </c>
      <c r="B5" s="25">
        <f t="shared" ref="B5:B30" si="1">SUM(D5:I5)</f>
        <v>4</v>
      </c>
      <c r="C5" s="25">
        <f t="shared" ref="C5:C30" si="2">SUM(K5:P5)</f>
        <v>11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11</v>
      </c>
      <c r="Q5" s="5">
        <v>0</v>
      </c>
    </row>
    <row r="6" spans="1:26" x14ac:dyDescent="0.35">
      <c r="A6" s="5" t="s">
        <v>11</v>
      </c>
      <c r="B6" s="25">
        <f t="shared" si="1"/>
        <v>2</v>
      </c>
      <c r="C6" s="25">
        <f t="shared" si="2"/>
        <v>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2</v>
      </c>
      <c r="Q6" s="5">
        <v>0</v>
      </c>
    </row>
    <row r="7" spans="1:26" x14ac:dyDescent="0.35">
      <c r="A7" s="5" t="s">
        <v>12</v>
      </c>
      <c r="B7" s="25">
        <f t="shared" si="1"/>
        <v>1</v>
      </c>
      <c r="C7" s="25">
        <f t="shared" si="2"/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</row>
    <row r="8" spans="1:26" x14ac:dyDescent="0.35">
      <c r="A8" s="5" t="s">
        <v>90</v>
      </c>
      <c r="B8" s="25">
        <f t="shared" si="1"/>
        <v>123</v>
      </c>
      <c r="C8" s="25">
        <f t="shared" si="2"/>
        <v>123</v>
      </c>
      <c r="D8" s="5">
        <v>81</v>
      </c>
      <c r="E8" s="5">
        <v>27</v>
      </c>
      <c r="F8" s="5">
        <v>2</v>
      </c>
      <c r="G8" s="5">
        <v>13</v>
      </c>
      <c r="H8" s="5">
        <v>0</v>
      </c>
      <c r="I8" s="5">
        <v>0</v>
      </c>
      <c r="J8" s="5">
        <v>1</v>
      </c>
      <c r="K8" s="5">
        <v>81</v>
      </c>
      <c r="L8" s="5">
        <v>27</v>
      </c>
      <c r="M8" s="5">
        <v>2</v>
      </c>
      <c r="N8" s="5">
        <v>13</v>
      </c>
      <c r="O8" s="5">
        <v>0</v>
      </c>
      <c r="P8" s="5">
        <v>0</v>
      </c>
      <c r="Q8" s="5">
        <v>1</v>
      </c>
    </row>
    <row r="9" spans="1:26" x14ac:dyDescent="0.35">
      <c r="A9" s="5" t="s">
        <v>91</v>
      </c>
      <c r="B9" s="25">
        <f t="shared" si="1"/>
        <v>13</v>
      </c>
      <c r="C9" s="25">
        <f t="shared" si="2"/>
        <v>13</v>
      </c>
      <c r="D9" s="5">
        <v>10</v>
      </c>
      <c r="E9" s="5">
        <v>1</v>
      </c>
      <c r="F9" s="5">
        <v>1</v>
      </c>
      <c r="G9" s="5">
        <v>1</v>
      </c>
      <c r="H9" s="5">
        <v>0</v>
      </c>
      <c r="I9" s="5">
        <v>0</v>
      </c>
      <c r="J9" s="5">
        <v>0</v>
      </c>
      <c r="K9" s="5">
        <v>10</v>
      </c>
      <c r="L9" s="5">
        <v>1</v>
      </c>
      <c r="M9" s="5">
        <v>1</v>
      </c>
      <c r="N9" s="5">
        <v>1</v>
      </c>
      <c r="O9" s="5">
        <v>0</v>
      </c>
      <c r="P9" s="5">
        <v>0</v>
      </c>
      <c r="Q9" s="5">
        <v>0</v>
      </c>
    </row>
    <row r="10" spans="1:26" x14ac:dyDescent="0.35">
      <c r="A10" s="5" t="s">
        <v>13</v>
      </c>
      <c r="B10" s="25">
        <f t="shared" si="1"/>
        <v>29</v>
      </c>
      <c r="C10" s="25">
        <f t="shared" si="2"/>
        <v>43</v>
      </c>
      <c r="D10" s="5">
        <v>17</v>
      </c>
      <c r="E10" s="5">
        <v>11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23</v>
      </c>
      <c r="L10" s="5">
        <v>19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</row>
    <row r="11" spans="1:26" x14ac:dyDescent="0.35">
      <c r="A11" s="5" t="s">
        <v>15</v>
      </c>
      <c r="B11" s="25">
        <f t="shared" si="1"/>
        <v>60</v>
      </c>
      <c r="C11" s="25">
        <f t="shared" si="2"/>
        <v>84</v>
      </c>
      <c r="D11" s="5">
        <v>35</v>
      </c>
      <c r="E11" s="5">
        <v>20</v>
      </c>
      <c r="F11" s="5">
        <v>2</v>
      </c>
      <c r="G11" s="5">
        <v>3</v>
      </c>
      <c r="H11" s="5">
        <v>0</v>
      </c>
      <c r="I11" s="5">
        <v>0</v>
      </c>
      <c r="J11" s="5">
        <v>0</v>
      </c>
      <c r="K11" s="5">
        <v>48</v>
      </c>
      <c r="L11" s="5">
        <v>30</v>
      </c>
      <c r="M11" s="5">
        <v>3</v>
      </c>
      <c r="N11" s="5">
        <v>3</v>
      </c>
      <c r="O11" s="5">
        <v>0</v>
      </c>
      <c r="P11" s="5">
        <v>0</v>
      </c>
      <c r="Q11" s="5">
        <v>0</v>
      </c>
    </row>
    <row r="12" spans="1:26" x14ac:dyDescent="0.35">
      <c r="A12" s="5" t="s">
        <v>16</v>
      </c>
      <c r="B12" s="25">
        <f t="shared" si="1"/>
        <v>5</v>
      </c>
      <c r="C12" s="25">
        <f t="shared" si="2"/>
        <v>6</v>
      </c>
      <c r="D12" s="5">
        <v>2</v>
      </c>
      <c r="E12" s="5">
        <v>2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2</v>
      </c>
      <c r="L12" s="5">
        <v>3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</row>
    <row r="13" spans="1:26" x14ac:dyDescent="0.35">
      <c r="A13" s="5" t="s">
        <v>17</v>
      </c>
      <c r="B13" s="25">
        <f t="shared" si="1"/>
        <v>8</v>
      </c>
      <c r="C13" s="25">
        <f t="shared" si="2"/>
        <v>12</v>
      </c>
      <c r="D13" s="5">
        <v>5</v>
      </c>
      <c r="E13" s="5">
        <v>1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7</v>
      </c>
      <c r="L13" s="5">
        <v>2</v>
      </c>
      <c r="M13" s="5">
        <v>3</v>
      </c>
      <c r="N13" s="5">
        <v>0</v>
      </c>
      <c r="O13" s="5">
        <v>0</v>
      </c>
      <c r="P13" s="5">
        <v>0</v>
      </c>
      <c r="Q13" s="5">
        <v>0</v>
      </c>
    </row>
    <row r="14" spans="1:26" x14ac:dyDescent="0.35">
      <c r="A14" s="5" t="s">
        <v>19</v>
      </c>
      <c r="B14" s="25">
        <f t="shared" si="1"/>
        <v>18</v>
      </c>
      <c r="C14" s="25">
        <f t="shared" si="2"/>
        <v>27</v>
      </c>
      <c r="D14" s="5">
        <v>8</v>
      </c>
      <c r="E14" s="5">
        <v>9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11</v>
      </c>
      <c r="L14" s="5">
        <v>15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</row>
    <row r="15" spans="1:26" x14ac:dyDescent="0.35">
      <c r="A15" s="5" t="s">
        <v>59</v>
      </c>
      <c r="B15" s="25">
        <f t="shared" si="1"/>
        <v>5</v>
      </c>
      <c r="C15" s="25">
        <f t="shared" si="2"/>
        <v>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5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5">
        <v>0</v>
      </c>
    </row>
    <row r="16" spans="1:26" x14ac:dyDescent="0.35">
      <c r="A16" s="5" t="s">
        <v>53</v>
      </c>
      <c r="B16" s="25">
        <f t="shared" si="1"/>
        <v>1</v>
      </c>
      <c r="C16" s="25">
        <f t="shared" si="2"/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0</v>
      </c>
    </row>
    <row r="17" spans="1:17" x14ac:dyDescent="0.35">
      <c r="A17" s="5" t="s">
        <v>20</v>
      </c>
      <c r="B17" s="25">
        <f t="shared" si="1"/>
        <v>1</v>
      </c>
      <c r="C17" s="25">
        <f t="shared" si="2"/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</row>
    <row r="18" spans="1:17" x14ac:dyDescent="0.35">
      <c r="A18" s="5" t="s">
        <v>92</v>
      </c>
      <c r="B18" s="25">
        <f t="shared" si="1"/>
        <v>1</v>
      </c>
      <c r="C18" s="25">
        <f t="shared" si="2"/>
        <v>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</row>
    <row r="19" spans="1:17" x14ac:dyDescent="0.35">
      <c r="A19" s="5" t="s">
        <v>21</v>
      </c>
      <c r="B19" s="25">
        <f t="shared" si="1"/>
        <v>76</v>
      </c>
      <c r="C19" s="25">
        <f t="shared" si="2"/>
        <v>121</v>
      </c>
      <c r="D19" s="5">
        <v>47</v>
      </c>
      <c r="E19" s="5">
        <v>22</v>
      </c>
      <c r="F19" s="5">
        <v>3</v>
      </c>
      <c r="G19" s="5">
        <v>4</v>
      </c>
      <c r="H19" s="5">
        <v>0</v>
      </c>
      <c r="I19" s="5">
        <v>0</v>
      </c>
      <c r="J19" s="5">
        <v>0</v>
      </c>
      <c r="K19" s="5">
        <v>75</v>
      </c>
      <c r="L19" s="5">
        <v>36</v>
      </c>
      <c r="M19" s="5">
        <v>4</v>
      </c>
      <c r="N19" s="5">
        <v>6</v>
      </c>
      <c r="O19" s="5">
        <v>0</v>
      </c>
      <c r="P19" s="5">
        <v>0</v>
      </c>
      <c r="Q19" s="5">
        <v>0</v>
      </c>
    </row>
    <row r="20" spans="1:17" x14ac:dyDescent="0.35">
      <c r="A20" s="5" t="s">
        <v>22</v>
      </c>
      <c r="B20" s="25">
        <f t="shared" si="1"/>
        <v>33</v>
      </c>
      <c r="C20" s="25">
        <f t="shared" si="2"/>
        <v>52</v>
      </c>
      <c r="D20" s="5">
        <v>21</v>
      </c>
      <c r="E20" s="5">
        <v>10</v>
      </c>
      <c r="F20" s="5">
        <v>0</v>
      </c>
      <c r="G20" s="5">
        <v>2</v>
      </c>
      <c r="H20" s="5">
        <v>0</v>
      </c>
      <c r="I20" s="5">
        <v>0</v>
      </c>
      <c r="J20" s="5">
        <v>0</v>
      </c>
      <c r="K20" s="5">
        <v>33</v>
      </c>
      <c r="L20" s="5">
        <v>17</v>
      </c>
      <c r="M20" s="5">
        <v>0</v>
      </c>
      <c r="N20" s="5">
        <v>2</v>
      </c>
      <c r="O20" s="5">
        <v>0</v>
      </c>
      <c r="P20" s="5">
        <v>0</v>
      </c>
      <c r="Q20" s="5">
        <v>0</v>
      </c>
    </row>
    <row r="21" spans="1:17" x14ac:dyDescent="0.35">
      <c r="A21" s="5" t="s">
        <v>23</v>
      </c>
      <c r="B21" s="25">
        <f t="shared" si="1"/>
        <v>105</v>
      </c>
      <c r="C21" s="25">
        <f t="shared" si="2"/>
        <v>178</v>
      </c>
      <c r="D21" s="5">
        <v>62</v>
      </c>
      <c r="E21" s="5">
        <v>28</v>
      </c>
      <c r="F21" s="5">
        <v>8</v>
      </c>
      <c r="G21" s="5">
        <v>7</v>
      </c>
      <c r="H21" s="5">
        <v>0</v>
      </c>
      <c r="I21" s="5">
        <v>0</v>
      </c>
      <c r="J21" s="5">
        <v>0</v>
      </c>
      <c r="K21" s="5">
        <v>108</v>
      </c>
      <c r="L21" s="5">
        <v>48</v>
      </c>
      <c r="M21" s="5">
        <v>11</v>
      </c>
      <c r="N21" s="5">
        <v>11</v>
      </c>
      <c r="O21" s="5">
        <v>0</v>
      </c>
      <c r="P21" s="5">
        <v>0</v>
      </c>
      <c r="Q21" s="5">
        <v>0</v>
      </c>
    </row>
    <row r="22" spans="1:17" x14ac:dyDescent="0.35">
      <c r="A22" s="5" t="s">
        <v>24</v>
      </c>
      <c r="B22" s="25">
        <f t="shared" si="1"/>
        <v>17</v>
      </c>
      <c r="C22" s="25">
        <f t="shared" si="2"/>
        <v>30</v>
      </c>
      <c r="D22" s="5">
        <v>8</v>
      </c>
      <c r="E22" s="5">
        <v>7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12</v>
      </c>
      <c r="L22" s="5">
        <v>11</v>
      </c>
      <c r="M22" s="5">
        <v>7</v>
      </c>
      <c r="N22" s="5">
        <v>0</v>
      </c>
      <c r="O22" s="5">
        <v>0</v>
      </c>
      <c r="P22" s="5">
        <v>0</v>
      </c>
      <c r="Q22" s="5">
        <v>0</v>
      </c>
    </row>
    <row r="23" spans="1:17" x14ac:dyDescent="0.35">
      <c r="A23" s="5" t="s">
        <v>25</v>
      </c>
      <c r="B23" s="25">
        <f t="shared" si="1"/>
        <v>63</v>
      </c>
      <c r="C23" s="25">
        <f t="shared" si="2"/>
        <v>94</v>
      </c>
      <c r="D23" s="5">
        <v>30</v>
      </c>
      <c r="E23" s="5">
        <v>21</v>
      </c>
      <c r="F23" s="5">
        <v>4</v>
      </c>
      <c r="G23" s="5">
        <v>8</v>
      </c>
      <c r="H23" s="5">
        <v>0</v>
      </c>
      <c r="I23" s="5">
        <v>0</v>
      </c>
      <c r="J23" s="5">
        <v>0</v>
      </c>
      <c r="K23" s="5">
        <v>43</v>
      </c>
      <c r="L23" s="5">
        <v>35</v>
      </c>
      <c r="M23" s="5">
        <v>5</v>
      </c>
      <c r="N23" s="5">
        <v>11</v>
      </c>
      <c r="O23" s="5">
        <v>0</v>
      </c>
      <c r="P23" s="5">
        <v>0</v>
      </c>
      <c r="Q23" s="5">
        <v>0</v>
      </c>
    </row>
    <row r="24" spans="1:17" x14ac:dyDescent="0.35">
      <c r="A24" s="5" t="s">
        <v>26</v>
      </c>
      <c r="B24" s="25">
        <f t="shared" si="1"/>
        <v>44</v>
      </c>
      <c r="C24" s="25">
        <f t="shared" si="2"/>
        <v>59</v>
      </c>
      <c r="D24" s="5">
        <v>19</v>
      </c>
      <c r="E24" s="5">
        <v>24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25</v>
      </c>
      <c r="L24" s="5">
        <v>33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</row>
    <row r="25" spans="1:17" x14ac:dyDescent="0.35">
      <c r="A25" s="5" t="s">
        <v>27</v>
      </c>
      <c r="B25" s="25">
        <f t="shared" si="1"/>
        <v>23</v>
      </c>
      <c r="C25" s="25">
        <f t="shared" si="2"/>
        <v>37</v>
      </c>
      <c r="D25" s="5">
        <v>11</v>
      </c>
      <c r="E25" s="5">
        <v>5</v>
      </c>
      <c r="F25" s="5">
        <v>5</v>
      </c>
      <c r="G25" s="5">
        <v>2</v>
      </c>
      <c r="H25" s="5">
        <v>0</v>
      </c>
      <c r="I25" s="5">
        <v>0</v>
      </c>
      <c r="J25" s="5">
        <v>0</v>
      </c>
      <c r="K25" s="5">
        <v>15</v>
      </c>
      <c r="L25" s="5">
        <v>8</v>
      </c>
      <c r="M25" s="5">
        <v>10</v>
      </c>
      <c r="N25" s="5">
        <v>4</v>
      </c>
      <c r="O25" s="5">
        <v>0</v>
      </c>
      <c r="P25" s="5">
        <v>0</v>
      </c>
      <c r="Q25" s="5">
        <v>0</v>
      </c>
    </row>
    <row r="26" spans="1:17" x14ac:dyDescent="0.35">
      <c r="A26" s="5" t="s">
        <v>28</v>
      </c>
      <c r="B26" s="25">
        <f t="shared" si="1"/>
        <v>76</v>
      </c>
      <c r="C26" s="25">
        <f t="shared" si="2"/>
        <v>116</v>
      </c>
      <c r="D26" s="5">
        <v>48</v>
      </c>
      <c r="E26" s="5">
        <v>23</v>
      </c>
      <c r="F26" s="5">
        <v>2</v>
      </c>
      <c r="G26" s="5">
        <v>3</v>
      </c>
      <c r="H26" s="5">
        <v>0</v>
      </c>
      <c r="I26" s="5">
        <v>0</v>
      </c>
      <c r="J26" s="5">
        <v>0</v>
      </c>
      <c r="K26" s="5">
        <v>74</v>
      </c>
      <c r="L26" s="5">
        <v>34</v>
      </c>
      <c r="M26" s="5">
        <v>4</v>
      </c>
      <c r="N26" s="5">
        <v>4</v>
      </c>
      <c r="O26" s="5">
        <v>0</v>
      </c>
      <c r="P26" s="5">
        <v>0</v>
      </c>
      <c r="Q26" s="5">
        <v>0</v>
      </c>
    </row>
    <row r="27" spans="1:17" x14ac:dyDescent="0.35">
      <c r="A27" s="5" t="s">
        <v>29</v>
      </c>
      <c r="B27" s="25">
        <f t="shared" si="1"/>
        <v>18</v>
      </c>
      <c r="C27" s="25">
        <f t="shared" si="2"/>
        <v>23</v>
      </c>
      <c r="D27" s="5">
        <v>8</v>
      </c>
      <c r="E27" s="5">
        <v>8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10</v>
      </c>
      <c r="L27" s="5">
        <v>10</v>
      </c>
      <c r="M27" s="5">
        <v>2</v>
      </c>
      <c r="N27" s="5">
        <v>1</v>
      </c>
      <c r="O27" s="5">
        <v>0</v>
      </c>
      <c r="P27" s="5">
        <v>0</v>
      </c>
      <c r="Q27" s="5">
        <v>0</v>
      </c>
    </row>
    <row r="28" spans="1:17" x14ac:dyDescent="0.35">
      <c r="A28" s="5" t="s">
        <v>30</v>
      </c>
      <c r="B28" s="25">
        <f t="shared" si="1"/>
        <v>56</v>
      </c>
      <c r="C28" s="25">
        <f t="shared" si="2"/>
        <v>90</v>
      </c>
      <c r="D28" s="5">
        <v>35</v>
      </c>
      <c r="E28" s="5">
        <v>15</v>
      </c>
      <c r="F28" s="5">
        <v>5</v>
      </c>
      <c r="G28" s="5">
        <v>1</v>
      </c>
      <c r="H28" s="5">
        <v>0</v>
      </c>
      <c r="I28" s="5">
        <v>0</v>
      </c>
      <c r="J28" s="5">
        <v>0</v>
      </c>
      <c r="K28" s="5">
        <v>56</v>
      </c>
      <c r="L28" s="5">
        <v>24</v>
      </c>
      <c r="M28" s="5">
        <v>9</v>
      </c>
      <c r="N28" s="5">
        <v>1</v>
      </c>
      <c r="O28" s="5">
        <v>0</v>
      </c>
      <c r="P28" s="5">
        <v>0</v>
      </c>
      <c r="Q28" s="5">
        <v>0</v>
      </c>
    </row>
    <row r="29" spans="1:17" x14ac:dyDescent="0.35">
      <c r="A29" s="5" t="s">
        <v>71</v>
      </c>
      <c r="B29" s="25">
        <f t="shared" si="1"/>
        <v>84</v>
      </c>
      <c r="C29" s="25">
        <f t="shared" si="2"/>
        <v>84</v>
      </c>
      <c r="D29" s="5">
        <v>56</v>
      </c>
      <c r="E29" s="5">
        <v>28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56</v>
      </c>
      <c r="L29" s="5">
        <v>28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x14ac:dyDescent="0.35">
      <c r="A30" s="5" t="s">
        <v>72</v>
      </c>
      <c r="B30" s="25">
        <f t="shared" si="1"/>
        <v>35</v>
      </c>
      <c r="C30" s="25">
        <f t="shared" si="2"/>
        <v>36</v>
      </c>
      <c r="D30" s="5">
        <v>25</v>
      </c>
      <c r="E30" s="5">
        <v>9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26</v>
      </c>
      <c r="L30" s="5">
        <v>9</v>
      </c>
      <c r="M30" s="5">
        <v>0</v>
      </c>
      <c r="N30" s="5">
        <v>1</v>
      </c>
      <c r="O30" s="5">
        <v>0</v>
      </c>
      <c r="P30" s="5">
        <v>0</v>
      </c>
      <c r="Q30" s="5">
        <v>0</v>
      </c>
    </row>
    <row r="31" spans="1:17" x14ac:dyDescent="0.35">
      <c r="A31" s="26">
        <v>3794</v>
      </c>
      <c r="B31" s="27">
        <f t="shared" ref="B31:Q31" si="3">SUM(B32:B35)</f>
        <v>155</v>
      </c>
      <c r="C31" s="27">
        <f t="shared" si="3"/>
        <v>234</v>
      </c>
      <c r="D31" s="8">
        <f t="shared" si="3"/>
        <v>93</v>
      </c>
      <c r="E31" s="8">
        <f t="shared" si="3"/>
        <v>39</v>
      </c>
      <c r="F31" s="8">
        <f t="shared" si="3"/>
        <v>3</v>
      </c>
      <c r="G31" s="8">
        <f t="shared" si="3"/>
        <v>20</v>
      </c>
      <c r="H31" s="8">
        <f t="shared" si="3"/>
        <v>0</v>
      </c>
      <c r="I31" s="8">
        <f t="shared" si="3"/>
        <v>0</v>
      </c>
      <c r="J31" s="8">
        <f t="shared" si="3"/>
        <v>0</v>
      </c>
      <c r="K31" s="8">
        <f t="shared" si="3"/>
        <v>142</v>
      </c>
      <c r="L31" s="8">
        <f t="shared" si="3"/>
        <v>57</v>
      </c>
      <c r="M31" s="8">
        <f t="shared" si="3"/>
        <v>5</v>
      </c>
      <c r="N31" s="8">
        <f t="shared" si="3"/>
        <v>30</v>
      </c>
      <c r="O31" s="8">
        <f t="shared" si="3"/>
        <v>0</v>
      </c>
      <c r="P31" s="8">
        <f t="shared" si="3"/>
        <v>0</v>
      </c>
      <c r="Q31" s="8">
        <f t="shared" si="3"/>
        <v>0</v>
      </c>
    </row>
    <row r="32" spans="1:17" x14ac:dyDescent="0.35">
      <c r="A32" s="5" t="s">
        <v>31</v>
      </c>
      <c r="B32" s="28">
        <f t="shared" ref="B32:B42" si="4">SUM(D32:I32)</f>
        <v>29</v>
      </c>
      <c r="C32" s="28">
        <f t="shared" ref="C32:C42" si="5">SUM(K32:P32)</f>
        <v>49</v>
      </c>
      <c r="D32" s="5">
        <v>20</v>
      </c>
      <c r="E32" s="5">
        <v>6</v>
      </c>
      <c r="F32" s="5">
        <v>1</v>
      </c>
      <c r="G32" s="5">
        <v>2</v>
      </c>
      <c r="H32" s="5">
        <v>0</v>
      </c>
      <c r="I32" s="29">
        <v>0</v>
      </c>
      <c r="J32" s="29">
        <v>0</v>
      </c>
      <c r="K32" s="5">
        <v>36</v>
      </c>
      <c r="L32" s="5">
        <v>9</v>
      </c>
      <c r="M32" s="5">
        <v>1</v>
      </c>
      <c r="N32" s="5">
        <v>3</v>
      </c>
      <c r="O32" s="5">
        <v>0</v>
      </c>
      <c r="P32" s="29">
        <v>0</v>
      </c>
      <c r="Q32" s="29">
        <v>0</v>
      </c>
    </row>
    <row r="33" spans="1:26" x14ac:dyDescent="0.35">
      <c r="A33" s="5" t="s">
        <v>32</v>
      </c>
      <c r="B33" s="28">
        <f t="shared" si="4"/>
        <v>39</v>
      </c>
      <c r="C33" s="28">
        <f t="shared" si="5"/>
        <v>57</v>
      </c>
      <c r="D33" s="5">
        <v>25</v>
      </c>
      <c r="E33" s="5">
        <v>11</v>
      </c>
      <c r="F33" s="5">
        <v>0</v>
      </c>
      <c r="G33" s="5">
        <v>3</v>
      </c>
      <c r="H33" s="5">
        <v>0</v>
      </c>
      <c r="I33" s="29">
        <v>0</v>
      </c>
      <c r="J33" s="29">
        <v>0</v>
      </c>
      <c r="K33" s="5">
        <v>35</v>
      </c>
      <c r="L33" s="5">
        <v>18</v>
      </c>
      <c r="M33" s="5">
        <v>0</v>
      </c>
      <c r="N33" s="5">
        <v>4</v>
      </c>
      <c r="O33" s="5">
        <v>0</v>
      </c>
      <c r="P33" s="29">
        <v>0</v>
      </c>
      <c r="Q33" s="29">
        <v>0</v>
      </c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5">
      <c r="A34" s="5" t="s">
        <v>33</v>
      </c>
      <c r="B34" s="28">
        <f t="shared" si="4"/>
        <v>63</v>
      </c>
      <c r="C34" s="28">
        <f t="shared" si="5"/>
        <v>104</v>
      </c>
      <c r="D34" s="5">
        <v>32</v>
      </c>
      <c r="E34" s="5">
        <v>14</v>
      </c>
      <c r="F34" s="5">
        <v>2</v>
      </c>
      <c r="G34" s="5">
        <v>15</v>
      </c>
      <c r="H34" s="5">
        <v>0</v>
      </c>
      <c r="I34" s="29">
        <v>0</v>
      </c>
      <c r="J34" s="29">
        <v>0</v>
      </c>
      <c r="K34" s="5">
        <v>55</v>
      </c>
      <c r="L34" s="5">
        <v>22</v>
      </c>
      <c r="M34" s="5">
        <v>4</v>
      </c>
      <c r="N34" s="5">
        <v>23</v>
      </c>
      <c r="O34" s="5">
        <v>0</v>
      </c>
      <c r="P34" s="29">
        <v>0</v>
      </c>
      <c r="Q34" s="29">
        <v>0</v>
      </c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35">
      <c r="A35" s="5" t="s">
        <v>73</v>
      </c>
      <c r="B35" s="28">
        <f t="shared" si="4"/>
        <v>24</v>
      </c>
      <c r="C35" s="28">
        <f t="shared" si="5"/>
        <v>24</v>
      </c>
      <c r="D35" s="5">
        <v>16</v>
      </c>
      <c r="E35" s="5">
        <v>8</v>
      </c>
      <c r="F35" s="5">
        <v>0</v>
      </c>
      <c r="G35" s="5">
        <v>0</v>
      </c>
      <c r="H35" s="5">
        <v>0</v>
      </c>
      <c r="I35" s="29">
        <v>0</v>
      </c>
      <c r="J35" s="29">
        <v>0</v>
      </c>
      <c r="K35" s="5">
        <v>16</v>
      </c>
      <c r="L35" s="5">
        <v>8</v>
      </c>
      <c r="M35" s="5">
        <v>0</v>
      </c>
      <c r="N35" s="5">
        <v>0</v>
      </c>
      <c r="O35" s="5">
        <v>0</v>
      </c>
      <c r="P35" s="29">
        <v>0</v>
      </c>
      <c r="Q35" s="29">
        <v>0</v>
      </c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35">
      <c r="A36" s="26">
        <v>3795</v>
      </c>
      <c r="B36" s="27">
        <f t="shared" si="4"/>
        <v>60</v>
      </c>
      <c r="C36" s="27">
        <f t="shared" si="5"/>
        <v>97</v>
      </c>
      <c r="D36" s="8">
        <f t="shared" ref="D36:Q36" si="6">SUM(D37:D38)</f>
        <v>24</v>
      </c>
      <c r="E36" s="8">
        <f t="shared" si="6"/>
        <v>11</v>
      </c>
      <c r="F36" s="8">
        <f t="shared" si="6"/>
        <v>8</v>
      </c>
      <c r="G36" s="8">
        <f t="shared" si="6"/>
        <v>17</v>
      </c>
      <c r="H36" s="8">
        <f t="shared" si="6"/>
        <v>0</v>
      </c>
      <c r="I36" s="8">
        <f t="shared" si="6"/>
        <v>0</v>
      </c>
      <c r="J36" s="8">
        <f t="shared" si="6"/>
        <v>0</v>
      </c>
      <c r="K36" s="8">
        <f t="shared" si="6"/>
        <v>41</v>
      </c>
      <c r="L36" s="8">
        <f t="shared" si="6"/>
        <v>18</v>
      </c>
      <c r="M36" s="8">
        <f t="shared" si="6"/>
        <v>16</v>
      </c>
      <c r="N36" s="8">
        <f t="shared" si="6"/>
        <v>22</v>
      </c>
      <c r="O36" s="8">
        <f t="shared" si="6"/>
        <v>0</v>
      </c>
      <c r="P36" s="8">
        <f t="shared" si="6"/>
        <v>0</v>
      </c>
      <c r="Q36" s="8">
        <f t="shared" si="6"/>
        <v>0</v>
      </c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5">
      <c r="A37" s="5" t="s">
        <v>34</v>
      </c>
      <c r="B37" s="28">
        <f t="shared" si="4"/>
        <v>18</v>
      </c>
      <c r="C37" s="28">
        <f t="shared" si="5"/>
        <v>31</v>
      </c>
      <c r="D37" s="5">
        <v>9</v>
      </c>
      <c r="E37" s="5">
        <v>4</v>
      </c>
      <c r="F37" s="5">
        <v>1</v>
      </c>
      <c r="G37" s="5">
        <v>4</v>
      </c>
      <c r="H37" s="5">
        <v>0</v>
      </c>
      <c r="I37" s="29">
        <v>0</v>
      </c>
      <c r="J37" s="29">
        <v>0</v>
      </c>
      <c r="K37" s="5">
        <v>15</v>
      </c>
      <c r="L37" s="5">
        <v>7</v>
      </c>
      <c r="M37" s="5">
        <v>2</v>
      </c>
      <c r="N37" s="5">
        <v>7</v>
      </c>
      <c r="O37" s="5">
        <v>0</v>
      </c>
      <c r="P37" s="29">
        <v>0</v>
      </c>
      <c r="Q37" s="29">
        <v>0</v>
      </c>
    </row>
    <row r="38" spans="1:26" x14ac:dyDescent="0.35">
      <c r="A38" s="5" t="s">
        <v>35</v>
      </c>
      <c r="B38" s="28">
        <f t="shared" si="4"/>
        <v>42</v>
      </c>
      <c r="C38" s="28">
        <f t="shared" si="5"/>
        <v>66</v>
      </c>
      <c r="D38" s="5">
        <v>15</v>
      </c>
      <c r="E38" s="5">
        <v>7</v>
      </c>
      <c r="F38" s="5">
        <v>7</v>
      </c>
      <c r="G38" s="5">
        <v>13</v>
      </c>
      <c r="H38" s="5">
        <v>0</v>
      </c>
      <c r="I38" s="29">
        <v>0</v>
      </c>
      <c r="J38" s="29">
        <v>0</v>
      </c>
      <c r="K38" s="5">
        <v>26</v>
      </c>
      <c r="L38" s="5">
        <v>11</v>
      </c>
      <c r="M38" s="5">
        <v>14</v>
      </c>
      <c r="N38" s="5">
        <v>15</v>
      </c>
      <c r="O38" s="5">
        <v>0</v>
      </c>
      <c r="P38" s="29">
        <v>0</v>
      </c>
      <c r="Q38" s="29">
        <v>0</v>
      </c>
    </row>
    <row r="39" spans="1:26" x14ac:dyDescent="0.35">
      <c r="A39" s="26">
        <v>3791</v>
      </c>
      <c r="B39" s="27">
        <f t="shared" si="4"/>
        <v>131</v>
      </c>
      <c r="C39" s="27">
        <f t="shared" si="5"/>
        <v>173</v>
      </c>
      <c r="D39" s="8">
        <f t="shared" ref="D39:Q39" si="7">SUM(D40:D42)</f>
        <v>79</v>
      </c>
      <c r="E39" s="8">
        <f t="shared" si="7"/>
        <v>41</v>
      </c>
      <c r="F39" s="8">
        <f t="shared" si="7"/>
        <v>6</v>
      </c>
      <c r="G39" s="8">
        <f t="shared" si="7"/>
        <v>5</v>
      </c>
      <c r="H39" s="8">
        <f t="shared" si="7"/>
        <v>0</v>
      </c>
      <c r="I39" s="8">
        <f t="shared" si="7"/>
        <v>0</v>
      </c>
      <c r="J39" s="8">
        <f t="shared" si="7"/>
        <v>0</v>
      </c>
      <c r="K39" s="8">
        <f t="shared" si="7"/>
        <v>99</v>
      </c>
      <c r="L39" s="8">
        <f t="shared" si="7"/>
        <v>59</v>
      </c>
      <c r="M39" s="8">
        <f t="shared" si="7"/>
        <v>10</v>
      </c>
      <c r="N39" s="8">
        <f t="shared" si="7"/>
        <v>5</v>
      </c>
      <c r="O39" s="8">
        <f t="shared" si="7"/>
        <v>0</v>
      </c>
      <c r="P39" s="8">
        <f t="shared" si="7"/>
        <v>0</v>
      </c>
      <c r="Q39" s="8">
        <f t="shared" si="7"/>
        <v>0</v>
      </c>
    </row>
    <row r="40" spans="1:26" x14ac:dyDescent="0.35">
      <c r="A40" s="5" t="s">
        <v>36</v>
      </c>
      <c r="B40" s="25">
        <f t="shared" si="4"/>
        <v>49</v>
      </c>
      <c r="C40" s="28">
        <f t="shared" si="5"/>
        <v>79</v>
      </c>
      <c r="D40" s="5">
        <v>27</v>
      </c>
      <c r="E40" s="5">
        <v>17</v>
      </c>
      <c r="F40" s="5">
        <v>3</v>
      </c>
      <c r="G40" s="5">
        <v>2</v>
      </c>
      <c r="H40" s="5">
        <v>0</v>
      </c>
      <c r="I40" s="29">
        <v>0</v>
      </c>
      <c r="J40" s="29">
        <v>0</v>
      </c>
      <c r="K40" s="5">
        <v>40</v>
      </c>
      <c r="L40" s="5">
        <v>31</v>
      </c>
      <c r="M40" s="5">
        <v>6</v>
      </c>
      <c r="N40" s="5">
        <v>2</v>
      </c>
      <c r="O40" s="5">
        <v>0</v>
      </c>
      <c r="P40" s="29">
        <v>0</v>
      </c>
      <c r="Q40" s="29">
        <v>0</v>
      </c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35">
      <c r="A41" s="5" t="s">
        <v>37</v>
      </c>
      <c r="B41" s="25">
        <f t="shared" si="4"/>
        <v>31</v>
      </c>
      <c r="C41" s="28">
        <f t="shared" si="5"/>
        <v>43</v>
      </c>
      <c r="D41" s="5">
        <v>18</v>
      </c>
      <c r="E41" s="5">
        <v>9</v>
      </c>
      <c r="F41" s="5">
        <v>1</v>
      </c>
      <c r="G41" s="5">
        <v>3</v>
      </c>
      <c r="H41" s="5">
        <v>0</v>
      </c>
      <c r="I41" s="29">
        <v>0</v>
      </c>
      <c r="J41" s="29">
        <v>0</v>
      </c>
      <c r="K41" s="5">
        <v>25</v>
      </c>
      <c r="L41" s="5">
        <v>13</v>
      </c>
      <c r="M41" s="5">
        <v>2</v>
      </c>
      <c r="N41" s="5">
        <v>3</v>
      </c>
      <c r="O41" s="5">
        <v>0</v>
      </c>
      <c r="P41" s="29">
        <v>0</v>
      </c>
      <c r="Q41" s="29">
        <v>0</v>
      </c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35">
      <c r="A42" s="5" t="s">
        <v>75</v>
      </c>
      <c r="B42" s="25">
        <f t="shared" si="4"/>
        <v>51</v>
      </c>
      <c r="C42" s="28">
        <f t="shared" si="5"/>
        <v>51</v>
      </c>
      <c r="D42" s="5">
        <v>34</v>
      </c>
      <c r="E42" s="5">
        <v>15</v>
      </c>
      <c r="F42" s="5">
        <v>2</v>
      </c>
      <c r="G42" s="5">
        <v>0</v>
      </c>
      <c r="H42" s="5">
        <v>0</v>
      </c>
      <c r="I42" s="29">
        <v>0</v>
      </c>
      <c r="J42" s="29">
        <v>0</v>
      </c>
      <c r="K42" s="5">
        <v>34</v>
      </c>
      <c r="L42" s="5">
        <v>15</v>
      </c>
      <c r="M42" s="5">
        <v>2</v>
      </c>
      <c r="N42" s="5">
        <v>0</v>
      </c>
      <c r="O42" s="5">
        <v>0</v>
      </c>
      <c r="P42" s="29">
        <v>0</v>
      </c>
      <c r="Q42" s="29">
        <v>0</v>
      </c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35">
      <c r="A43" s="11" t="s">
        <v>38</v>
      </c>
      <c r="B43" s="12">
        <f t="shared" ref="B43:Q43" si="8">B4+B31+B36+B39</f>
        <v>1248</v>
      </c>
      <c r="C43" s="12">
        <f t="shared" si="8"/>
        <v>1755</v>
      </c>
      <c r="D43" s="12">
        <f t="shared" si="8"/>
        <v>724</v>
      </c>
      <c r="E43" s="12">
        <f t="shared" si="8"/>
        <v>362</v>
      </c>
      <c r="F43" s="12">
        <f t="shared" si="8"/>
        <v>58</v>
      </c>
      <c r="G43" s="12">
        <f t="shared" si="8"/>
        <v>88</v>
      </c>
      <c r="H43" s="12">
        <f t="shared" si="8"/>
        <v>0</v>
      </c>
      <c r="I43" s="12">
        <f t="shared" si="8"/>
        <v>15</v>
      </c>
      <c r="J43" s="12">
        <f t="shared" si="8"/>
        <v>1</v>
      </c>
      <c r="K43" s="12">
        <f t="shared" si="8"/>
        <v>997</v>
      </c>
      <c r="L43" s="12">
        <f t="shared" si="8"/>
        <v>524</v>
      </c>
      <c r="M43" s="12">
        <f t="shared" si="8"/>
        <v>96</v>
      </c>
      <c r="N43" s="12">
        <f t="shared" si="8"/>
        <v>115</v>
      </c>
      <c r="O43" s="12">
        <f t="shared" si="8"/>
        <v>0</v>
      </c>
      <c r="P43" s="12">
        <f t="shared" si="8"/>
        <v>22</v>
      </c>
      <c r="Q43" s="12">
        <f t="shared" si="8"/>
        <v>1</v>
      </c>
    </row>
    <row r="45" spans="1:26" ht="20" x14ac:dyDescent="0.35">
      <c r="A45" s="33" t="s">
        <v>39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 spans="1:26" ht="15" customHeight="1" x14ac:dyDescent="0.35">
      <c r="A46" s="34" t="s">
        <v>40</v>
      </c>
      <c r="B46" s="40" t="s">
        <v>6</v>
      </c>
      <c r="C46" s="40"/>
      <c r="D46" s="40" t="s">
        <v>7</v>
      </c>
      <c r="E46" s="40"/>
      <c r="F46" s="40" t="s">
        <v>8</v>
      </c>
      <c r="G46" s="40"/>
      <c r="H46" s="40" t="s">
        <v>9</v>
      </c>
      <c r="I46" s="40"/>
      <c r="J46" s="40" t="s">
        <v>41</v>
      </c>
      <c r="K46" s="40"/>
      <c r="L46" s="40" t="s">
        <v>42</v>
      </c>
      <c r="M46" s="40" t="s">
        <v>43</v>
      </c>
    </row>
    <row r="47" spans="1:26" x14ac:dyDescent="0.35">
      <c r="A47" s="34"/>
      <c r="B47" s="13" t="s">
        <v>44</v>
      </c>
      <c r="C47" s="13" t="s">
        <v>45</v>
      </c>
      <c r="D47" s="13" t="s">
        <v>44</v>
      </c>
      <c r="E47" s="13" t="s">
        <v>45</v>
      </c>
      <c r="F47" s="13" t="s">
        <v>44</v>
      </c>
      <c r="G47" s="13" t="s">
        <v>45</v>
      </c>
      <c r="H47" s="13" t="s">
        <v>44</v>
      </c>
      <c r="I47" s="13" t="s">
        <v>45</v>
      </c>
      <c r="J47" s="13" t="s">
        <v>44</v>
      </c>
      <c r="K47" s="13" t="s">
        <v>45</v>
      </c>
      <c r="L47" s="40"/>
      <c r="M47" s="40"/>
    </row>
    <row r="48" spans="1:26" x14ac:dyDescent="0.35">
      <c r="A48" s="14" t="s">
        <v>46</v>
      </c>
      <c r="B48" s="14">
        <v>550</v>
      </c>
      <c r="C48" s="14">
        <v>871</v>
      </c>
      <c r="D48" s="14">
        <v>276</v>
      </c>
      <c r="E48" s="14">
        <v>471</v>
      </c>
      <c r="F48" s="14">
        <v>53</v>
      </c>
      <c r="G48" s="14">
        <v>94</v>
      </c>
      <c r="H48" s="14">
        <v>71</v>
      </c>
      <c r="I48" s="14">
        <v>102</v>
      </c>
      <c r="J48" s="14">
        <v>10</v>
      </c>
      <c r="K48" s="14">
        <v>19</v>
      </c>
      <c r="L48" s="14">
        <v>960</v>
      </c>
      <c r="M48" s="14">
        <v>1557</v>
      </c>
    </row>
    <row r="49" spans="1:13" x14ac:dyDescent="0.35">
      <c r="A49" s="14" t="s">
        <v>76</v>
      </c>
      <c r="B49" s="14">
        <v>131</v>
      </c>
      <c r="C49" s="14">
        <v>132</v>
      </c>
      <c r="D49" s="14">
        <v>60</v>
      </c>
      <c r="E49" s="14">
        <v>60</v>
      </c>
      <c r="F49" s="14">
        <v>2</v>
      </c>
      <c r="G49" s="14">
        <v>2</v>
      </c>
      <c r="H49" s="14">
        <v>1</v>
      </c>
      <c r="I49" s="14">
        <v>1</v>
      </c>
      <c r="J49" s="14">
        <v>0</v>
      </c>
      <c r="K49" s="14">
        <v>0</v>
      </c>
      <c r="L49" s="14">
        <v>194</v>
      </c>
      <c r="M49" s="14">
        <v>195</v>
      </c>
    </row>
    <row r="50" spans="1:13" x14ac:dyDescent="0.35">
      <c r="A50" s="14" t="s">
        <v>47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2</v>
      </c>
      <c r="K50" s="14">
        <v>3</v>
      </c>
      <c r="L50" s="14">
        <v>2</v>
      </c>
      <c r="M50" s="14">
        <v>3</v>
      </c>
    </row>
    <row r="51" spans="1:13" x14ac:dyDescent="0.35">
      <c r="A51" s="16" t="s">
        <v>48</v>
      </c>
      <c r="B51" s="17">
        <f t="shared" ref="B51:M51" si="9">SUM(B48:B50)</f>
        <v>681</v>
      </c>
      <c r="C51" s="17">
        <f t="shared" si="9"/>
        <v>1003</v>
      </c>
      <c r="D51" s="17">
        <f t="shared" si="9"/>
        <v>336</v>
      </c>
      <c r="E51" s="17">
        <f t="shared" si="9"/>
        <v>531</v>
      </c>
      <c r="F51" s="17">
        <f t="shared" si="9"/>
        <v>55</v>
      </c>
      <c r="G51" s="17">
        <f t="shared" si="9"/>
        <v>96</v>
      </c>
      <c r="H51" s="17">
        <f t="shared" si="9"/>
        <v>72</v>
      </c>
      <c r="I51" s="17">
        <f t="shared" si="9"/>
        <v>103</v>
      </c>
      <c r="J51" s="17">
        <f t="shared" si="9"/>
        <v>12</v>
      </c>
      <c r="K51" s="17">
        <f t="shared" si="9"/>
        <v>22</v>
      </c>
      <c r="L51" s="17">
        <f t="shared" si="9"/>
        <v>1156</v>
      </c>
      <c r="M51" s="17">
        <f t="shared" si="9"/>
        <v>1755</v>
      </c>
    </row>
  </sheetData>
  <mergeCells count="15">
    <mergeCell ref="A1:P1"/>
    <mergeCell ref="A2:A3"/>
    <mergeCell ref="B2:B3"/>
    <mergeCell ref="C2:C3"/>
    <mergeCell ref="D2:J2"/>
    <mergeCell ref="K2:P2"/>
    <mergeCell ref="A45:M45"/>
    <mergeCell ref="A46:A47"/>
    <mergeCell ref="B46:C46"/>
    <mergeCell ref="D46:E46"/>
    <mergeCell ref="F46:G46"/>
    <mergeCell ref="H46:I46"/>
    <mergeCell ref="J46:K46"/>
    <mergeCell ref="L46:L47"/>
    <mergeCell ref="M46:M47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tabSelected="1" zoomScale="80" zoomScaleNormal="80" workbookViewId="0">
      <pane ySplit="3" topLeftCell="A44" activePane="bottomLeft" state="frozen"/>
      <selection pane="bottomLeft" activeCell="H52" sqref="H52"/>
    </sheetView>
  </sheetViews>
  <sheetFormatPr baseColWidth="10" defaultColWidth="15.08984375" defaultRowHeight="14.5" x14ac:dyDescent="0.35"/>
  <cols>
    <col min="1" max="1" width="60.26953125" customWidth="1"/>
    <col min="2" max="2" width="10.54296875" customWidth="1"/>
    <col min="3" max="3" width="12.36328125" customWidth="1"/>
    <col min="4" max="4" width="10.26953125" customWidth="1"/>
    <col min="5" max="5" width="7.36328125" customWidth="1"/>
    <col min="6" max="6" width="10.7265625" customWidth="1"/>
    <col min="7" max="7" width="6.90625" customWidth="1"/>
    <col min="8" max="9" width="10.54296875" customWidth="1"/>
    <col min="10" max="11" width="7.7265625" customWidth="1"/>
    <col min="12" max="12" width="9.7265625" customWidth="1"/>
    <col min="13" max="13" width="8.81640625" customWidth="1"/>
    <col min="14" max="14" width="9.81640625" customWidth="1"/>
    <col min="15" max="17" width="9.54296875" customWidth="1"/>
  </cols>
  <sheetData>
    <row r="1" spans="1:26" ht="26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1"/>
    </row>
    <row r="2" spans="1:26" ht="15" customHeight="1" x14ac:dyDescent="0.35">
      <c r="A2" s="41" t="s">
        <v>1</v>
      </c>
      <c r="B2" s="42" t="s">
        <v>93</v>
      </c>
      <c r="C2" s="43" t="s">
        <v>94</v>
      </c>
      <c r="D2" s="44" t="s">
        <v>4</v>
      </c>
      <c r="E2" s="44"/>
      <c r="F2" s="44"/>
      <c r="G2" s="44"/>
      <c r="H2" s="44"/>
      <c r="I2" s="44"/>
      <c r="J2" s="44"/>
      <c r="K2" s="44" t="s">
        <v>5</v>
      </c>
      <c r="L2" s="44"/>
      <c r="M2" s="44"/>
      <c r="N2" s="44"/>
      <c r="O2" s="44"/>
      <c r="P2" s="44"/>
      <c r="Q2" s="22"/>
    </row>
    <row r="3" spans="1:26" ht="33.15" customHeight="1" x14ac:dyDescent="0.35">
      <c r="A3" s="41"/>
      <c r="B3" s="42"/>
      <c r="C3" s="43"/>
      <c r="D3" s="22" t="s">
        <v>6</v>
      </c>
      <c r="E3" s="22" t="s">
        <v>7</v>
      </c>
      <c r="F3" s="22" t="s">
        <v>8</v>
      </c>
      <c r="G3" s="22" t="s">
        <v>9</v>
      </c>
      <c r="H3" s="22" t="s">
        <v>79</v>
      </c>
      <c r="I3" s="22" t="s">
        <v>10</v>
      </c>
      <c r="J3" s="22" t="s">
        <v>84</v>
      </c>
      <c r="K3" s="22" t="s">
        <v>6</v>
      </c>
      <c r="L3" s="22" t="s">
        <v>7</v>
      </c>
      <c r="M3" s="22" t="s">
        <v>8</v>
      </c>
      <c r="N3" s="22" t="s">
        <v>9</v>
      </c>
      <c r="O3" s="22" t="s">
        <v>79</v>
      </c>
      <c r="P3" s="22" t="s">
        <v>10</v>
      </c>
      <c r="Q3" s="22" t="s">
        <v>84</v>
      </c>
    </row>
    <row r="4" spans="1:26" x14ac:dyDescent="0.35">
      <c r="A4" s="23">
        <v>3792</v>
      </c>
      <c r="B4" s="23">
        <f>SUM(D4:J4)</f>
        <v>1090</v>
      </c>
      <c r="C4" s="23">
        <f>SUM(K4:Q4)</f>
        <v>1574</v>
      </c>
      <c r="D4" s="3">
        <f t="shared" ref="D4:Q4" si="0">SUM(D5:D33)</f>
        <v>661</v>
      </c>
      <c r="E4" s="3">
        <f t="shared" si="0"/>
        <v>286</v>
      </c>
      <c r="F4" s="3">
        <f t="shared" si="0"/>
        <v>53</v>
      </c>
      <c r="G4" s="3">
        <f t="shared" si="0"/>
        <v>63</v>
      </c>
      <c r="H4" s="3">
        <f t="shared" si="0"/>
        <v>0</v>
      </c>
      <c r="I4" s="3">
        <f t="shared" si="0"/>
        <v>25</v>
      </c>
      <c r="J4" s="3">
        <f t="shared" si="0"/>
        <v>2</v>
      </c>
      <c r="K4" s="3">
        <f t="shared" si="0"/>
        <v>866</v>
      </c>
      <c r="L4" s="3">
        <f t="shared" si="0"/>
        <v>400</v>
      </c>
      <c r="M4" s="3">
        <f t="shared" si="0"/>
        <v>81</v>
      </c>
      <c r="N4" s="3">
        <f t="shared" si="0"/>
        <v>74</v>
      </c>
      <c r="O4" s="3">
        <f t="shared" si="0"/>
        <v>0</v>
      </c>
      <c r="P4" s="3">
        <f t="shared" si="0"/>
        <v>151</v>
      </c>
      <c r="Q4" s="3">
        <f t="shared" si="0"/>
        <v>2</v>
      </c>
      <c r="R4" s="4"/>
      <c r="S4" s="4"/>
      <c r="T4" s="4"/>
      <c r="U4" s="4"/>
      <c r="V4" s="4"/>
      <c r="W4" s="4"/>
      <c r="X4" s="4"/>
      <c r="Y4" s="4"/>
      <c r="Z4" s="4"/>
    </row>
    <row r="5" spans="1:26" x14ac:dyDescent="0.35">
      <c r="A5" s="5" t="s">
        <v>51</v>
      </c>
      <c r="B5" s="25">
        <f t="shared" ref="B5:B33" si="1">SUM(D5:I5)</f>
        <v>2</v>
      </c>
      <c r="C5" s="25">
        <f t="shared" ref="C5:C33" si="2">SUM(K5:P5)</f>
        <v>4</v>
      </c>
      <c r="D5" s="30">
        <v>0</v>
      </c>
      <c r="E5" s="30">
        <v>0</v>
      </c>
      <c r="F5" s="30">
        <v>0</v>
      </c>
      <c r="G5" s="30">
        <v>0</v>
      </c>
      <c r="H5" s="5">
        <v>0</v>
      </c>
      <c r="I5" s="30">
        <v>2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5">
        <v>0</v>
      </c>
      <c r="P5" s="30">
        <v>4</v>
      </c>
      <c r="Q5" s="30">
        <v>0</v>
      </c>
    </row>
    <row r="6" spans="1:26" x14ac:dyDescent="0.35">
      <c r="A6" s="5" t="s">
        <v>11</v>
      </c>
      <c r="B6" s="25">
        <f t="shared" si="1"/>
        <v>4</v>
      </c>
      <c r="C6" s="25">
        <f t="shared" si="2"/>
        <v>66</v>
      </c>
      <c r="D6" s="30">
        <v>0</v>
      </c>
      <c r="E6" s="30">
        <v>0</v>
      </c>
      <c r="F6" s="30">
        <v>0</v>
      </c>
      <c r="G6" s="30">
        <v>0</v>
      </c>
      <c r="H6" s="5">
        <v>0</v>
      </c>
      <c r="I6" s="30">
        <v>4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5">
        <v>0</v>
      </c>
      <c r="P6" s="30">
        <v>66</v>
      </c>
      <c r="Q6" s="30">
        <v>0</v>
      </c>
    </row>
    <row r="7" spans="1:26" x14ac:dyDescent="0.35">
      <c r="A7" s="5" t="s">
        <v>12</v>
      </c>
      <c r="B7" s="25">
        <f t="shared" si="1"/>
        <v>6</v>
      </c>
      <c r="C7" s="25">
        <f t="shared" si="2"/>
        <v>68</v>
      </c>
      <c r="D7" s="30">
        <v>0</v>
      </c>
      <c r="E7" s="30">
        <v>0</v>
      </c>
      <c r="F7" s="30">
        <v>0</v>
      </c>
      <c r="G7" s="30">
        <v>0</v>
      </c>
      <c r="H7" s="5">
        <v>0</v>
      </c>
      <c r="I7" s="30">
        <v>6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5">
        <v>0</v>
      </c>
      <c r="P7" s="30">
        <v>68</v>
      </c>
      <c r="Q7" s="30">
        <v>0</v>
      </c>
    </row>
    <row r="8" spans="1:26" x14ac:dyDescent="0.35">
      <c r="A8" s="5" t="s">
        <v>52</v>
      </c>
      <c r="B8" s="25">
        <f t="shared" si="1"/>
        <v>1</v>
      </c>
      <c r="C8" s="25">
        <f t="shared" si="2"/>
        <v>1</v>
      </c>
      <c r="D8" s="30">
        <v>0</v>
      </c>
      <c r="E8" s="30">
        <v>0</v>
      </c>
      <c r="F8" s="30">
        <v>0</v>
      </c>
      <c r="G8" s="30">
        <v>0</v>
      </c>
      <c r="H8" s="5">
        <v>0</v>
      </c>
      <c r="I8" s="30">
        <v>1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5">
        <v>0</v>
      </c>
      <c r="P8" s="30">
        <v>1</v>
      </c>
      <c r="Q8" s="30">
        <v>0</v>
      </c>
    </row>
    <row r="9" spans="1:26" x14ac:dyDescent="0.35">
      <c r="A9" s="5" t="s">
        <v>90</v>
      </c>
      <c r="B9" s="25">
        <f t="shared" si="1"/>
        <v>19</v>
      </c>
      <c r="C9" s="25">
        <f t="shared" si="2"/>
        <v>19</v>
      </c>
      <c r="D9" s="30">
        <v>14</v>
      </c>
      <c r="E9" s="30">
        <v>5</v>
      </c>
      <c r="F9" s="30">
        <v>0</v>
      </c>
      <c r="G9" s="30">
        <v>0</v>
      </c>
      <c r="H9" s="5">
        <v>0</v>
      </c>
      <c r="I9" s="30">
        <v>0</v>
      </c>
      <c r="J9" s="30">
        <v>0</v>
      </c>
      <c r="K9" s="30">
        <v>14</v>
      </c>
      <c r="L9" s="30">
        <v>5</v>
      </c>
      <c r="M9" s="30">
        <v>0</v>
      </c>
      <c r="N9" s="30">
        <v>0</v>
      </c>
      <c r="O9" s="5">
        <v>0</v>
      </c>
      <c r="P9" s="30">
        <v>0</v>
      </c>
      <c r="Q9" s="30">
        <v>0</v>
      </c>
    </row>
    <row r="10" spans="1:26" x14ac:dyDescent="0.35">
      <c r="A10" s="5" t="s">
        <v>13</v>
      </c>
      <c r="B10" s="25">
        <f t="shared" si="1"/>
        <v>27</v>
      </c>
      <c r="C10" s="25">
        <f t="shared" si="2"/>
        <v>39</v>
      </c>
      <c r="D10" s="30">
        <v>14</v>
      </c>
      <c r="E10" s="30">
        <v>12</v>
      </c>
      <c r="F10" s="30">
        <v>1</v>
      </c>
      <c r="G10" s="30">
        <v>0</v>
      </c>
      <c r="H10" s="5">
        <v>0</v>
      </c>
      <c r="I10" s="30">
        <v>0</v>
      </c>
      <c r="J10" s="30">
        <v>0</v>
      </c>
      <c r="K10" s="30">
        <v>18</v>
      </c>
      <c r="L10" s="30">
        <v>19</v>
      </c>
      <c r="M10" s="30">
        <v>2</v>
      </c>
      <c r="N10" s="30">
        <v>0</v>
      </c>
      <c r="O10" s="5">
        <v>0</v>
      </c>
      <c r="P10" s="30">
        <v>0</v>
      </c>
      <c r="Q10" s="30">
        <v>0</v>
      </c>
    </row>
    <row r="11" spans="1:26" x14ac:dyDescent="0.35">
      <c r="A11" s="5" t="s">
        <v>15</v>
      </c>
      <c r="B11" s="25">
        <f t="shared" si="1"/>
        <v>54</v>
      </c>
      <c r="C11" s="25">
        <f t="shared" si="2"/>
        <v>80</v>
      </c>
      <c r="D11" s="30">
        <v>35</v>
      </c>
      <c r="E11" s="30">
        <v>17</v>
      </c>
      <c r="F11" s="30">
        <v>1</v>
      </c>
      <c r="G11" s="30">
        <v>1</v>
      </c>
      <c r="H11" s="5">
        <v>0</v>
      </c>
      <c r="I11" s="30">
        <v>0</v>
      </c>
      <c r="J11" s="30">
        <v>0</v>
      </c>
      <c r="K11" s="30">
        <v>54</v>
      </c>
      <c r="L11" s="30">
        <v>24</v>
      </c>
      <c r="M11" s="30">
        <v>1</v>
      </c>
      <c r="N11" s="30">
        <v>1</v>
      </c>
      <c r="O11" s="5">
        <v>0</v>
      </c>
      <c r="P11" s="30">
        <v>0</v>
      </c>
      <c r="Q11" s="30">
        <v>0</v>
      </c>
    </row>
    <row r="12" spans="1:26" x14ac:dyDescent="0.35">
      <c r="A12" s="5" t="s">
        <v>16</v>
      </c>
      <c r="B12" s="25">
        <f t="shared" si="1"/>
        <v>5</v>
      </c>
      <c r="C12" s="25">
        <f t="shared" si="2"/>
        <v>6</v>
      </c>
      <c r="D12" s="30">
        <v>1</v>
      </c>
      <c r="E12" s="30">
        <v>3</v>
      </c>
      <c r="F12" s="30">
        <v>1</v>
      </c>
      <c r="G12" s="30">
        <v>0</v>
      </c>
      <c r="H12" s="5">
        <v>0</v>
      </c>
      <c r="I12" s="30">
        <v>0</v>
      </c>
      <c r="J12" s="30">
        <v>0</v>
      </c>
      <c r="K12" s="30">
        <v>1</v>
      </c>
      <c r="L12" s="30">
        <v>4</v>
      </c>
      <c r="M12" s="30">
        <v>1</v>
      </c>
      <c r="N12" s="30">
        <v>0</v>
      </c>
      <c r="O12" s="5">
        <v>0</v>
      </c>
      <c r="P12" s="30">
        <v>0</v>
      </c>
      <c r="Q12" s="30">
        <v>0</v>
      </c>
    </row>
    <row r="13" spans="1:26" x14ac:dyDescent="0.35">
      <c r="A13" s="5" t="s">
        <v>17</v>
      </c>
      <c r="B13" s="25">
        <f t="shared" si="1"/>
        <v>7</v>
      </c>
      <c r="C13" s="25">
        <f t="shared" si="2"/>
        <v>7</v>
      </c>
      <c r="D13" s="30">
        <v>5</v>
      </c>
      <c r="E13" s="30">
        <v>1</v>
      </c>
      <c r="F13" s="30">
        <v>1</v>
      </c>
      <c r="G13" s="30">
        <v>0</v>
      </c>
      <c r="H13" s="5">
        <v>0</v>
      </c>
      <c r="I13" s="30">
        <v>0</v>
      </c>
      <c r="J13" s="30">
        <v>0</v>
      </c>
      <c r="K13" s="30">
        <v>5</v>
      </c>
      <c r="L13" s="30">
        <v>1</v>
      </c>
      <c r="M13" s="30">
        <v>1</v>
      </c>
      <c r="N13" s="30">
        <v>0</v>
      </c>
      <c r="O13" s="5">
        <v>0</v>
      </c>
      <c r="P13" s="30">
        <v>0</v>
      </c>
      <c r="Q13" s="30">
        <v>0</v>
      </c>
    </row>
    <row r="14" spans="1:26" x14ac:dyDescent="0.35">
      <c r="A14" s="5" t="s">
        <v>18</v>
      </c>
      <c r="B14" s="25">
        <f t="shared" si="1"/>
        <v>1</v>
      </c>
      <c r="C14" s="25">
        <f t="shared" si="2"/>
        <v>1</v>
      </c>
      <c r="D14" s="30">
        <v>0</v>
      </c>
      <c r="E14" s="30">
        <v>0</v>
      </c>
      <c r="F14" s="30">
        <v>0</v>
      </c>
      <c r="G14" s="30">
        <v>0</v>
      </c>
      <c r="H14" s="5">
        <v>0</v>
      </c>
      <c r="I14" s="30">
        <v>1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5">
        <v>0</v>
      </c>
      <c r="P14" s="30">
        <v>1</v>
      </c>
      <c r="Q14" s="30">
        <v>0</v>
      </c>
    </row>
    <row r="15" spans="1:26" x14ac:dyDescent="0.35">
      <c r="A15" s="5" t="s">
        <v>66</v>
      </c>
      <c r="B15" s="25">
        <f t="shared" si="1"/>
        <v>1</v>
      </c>
      <c r="C15" s="25">
        <f t="shared" si="2"/>
        <v>1</v>
      </c>
      <c r="D15" s="30">
        <v>0</v>
      </c>
      <c r="E15" s="30">
        <v>0</v>
      </c>
      <c r="F15" s="30">
        <v>0</v>
      </c>
      <c r="G15" s="30">
        <v>0</v>
      </c>
      <c r="H15" s="5">
        <v>0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5">
        <v>0</v>
      </c>
      <c r="P15" s="30">
        <v>1</v>
      </c>
      <c r="Q15" s="30">
        <v>0</v>
      </c>
    </row>
    <row r="16" spans="1:26" x14ac:dyDescent="0.35">
      <c r="A16" s="5" t="s">
        <v>95</v>
      </c>
      <c r="B16" s="25">
        <f t="shared" si="1"/>
        <v>2</v>
      </c>
      <c r="C16" s="25">
        <f t="shared" si="2"/>
        <v>2</v>
      </c>
      <c r="D16" s="30">
        <v>0</v>
      </c>
      <c r="E16" s="30">
        <v>0</v>
      </c>
      <c r="F16" s="30">
        <v>0</v>
      </c>
      <c r="G16" s="30">
        <v>0</v>
      </c>
      <c r="H16" s="5">
        <v>0</v>
      </c>
      <c r="I16" s="30">
        <v>2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5">
        <v>0</v>
      </c>
      <c r="P16" s="30">
        <v>2</v>
      </c>
      <c r="Q16" s="30">
        <v>0</v>
      </c>
    </row>
    <row r="17" spans="1:17" x14ac:dyDescent="0.35">
      <c r="A17" s="5" t="s">
        <v>19</v>
      </c>
      <c r="B17" s="25">
        <f t="shared" si="1"/>
        <v>16</v>
      </c>
      <c r="C17" s="25">
        <f t="shared" si="2"/>
        <v>26</v>
      </c>
      <c r="D17" s="30">
        <v>7</v>
      </c>
      <c r="E17" s="30">
        <v>8</v>
      </c>
      <c r="F17" s="30">
        <v>1</v>
      </c>
      <c r="G17" s="30">
        <v>0</v>
      </c>
      <c r="H17" s="5">
        <v>0</v>
      </c>
      <c r="I17" s="30">
        <v>0</v>
      </c>
      <c r="J17" s="30">
        <v>0</v>
      </c>
      <c r="K17" s="30">
        <v>12</v>
      </c>
      <c r="L17" s="30">
        <v>13</v>
      </c>
      <c r="M17" s="30">
        <v>1</v>
      </c>
      <c r="N17" s="30">
        <v>0</v>
      </c>
      <c r="O17" s="5">
        <v>0</v>
      </c>
      <c r="P17" s="30">
        <v>0</v>
      </c>
      <c r="Q17" s="30">
        <v>0</v>
      </c>
    </row>
    <row r="18" spans="1:17" x14ac:dyDescent="0.35">
      <c r="A18" s="5" t="s">
        <v>59</v>
      </c>
      <c r="B18" s="25">
        <f t="shared" si="1"/>
        <v>1</v>
      </c>
      <c r="C18" s="25">
        <f t="shared" si="2"/>
        <v>1</v>
      </c>
      <c r="D18" s="30">
        <v>0</v>
      </c>
      <c r="E18" s="30">
        <v>0</v>
      </c>
      <c r="F18" s="30">
        <v>0</v>
      </c>
      <c r="G18" s="30">
        <v>0</v>
      </c>
      <c r="H18" s="5">
        <v>0</v>
      </c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5">
        <v>0</v>
      </c>
      <c r="P18" s="30">
        <v>1</v>
      </c>
      <c r="Q18" s="30">
        <v>0</v>
      </c>
    </row>
    <row r="19" spans="1:17" x14ac:dyDescent="0.35">
      <c r="A19" s="5" t="s">
        <v>53</v>
      </c>
      <c r="B19" s="25">
        <f t="shared" si="1"/>
        <v>3</v>
      </c>
      <c r="C19" s="25">
        <f t="shared" si="2"/>
        <v>3</v>
      </c>
      <c r="D19" s="30">
        <v>0</v>
      </c>
      <c r="E19" s="30">
        <v>0</v>
      </c>
      <c r="F19" s="30">
        <v>0</v>
      </c>
      <c r="G19" s="30">
        <v>0</v>
      </c>
      <c r="H19" s="5">
        <v>0</v>
      </c>
      <c r="I19" s="30">
        <v>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5">
        <v>0</v>
      </c>
      <c r="P19" s="30">
        <v>3</v>
      </c>
      <c r="Q19" s="30">
        <v>0</v>
      </c>
    </row>
    <row r="20" spans="1:17" x14ac:dyDescent="0.35">
      <c r="A20" s="5" t="s">
        <v>96</v>
      </c>
      <c r="B20" s="25">
        <f t="shared" si="1"/>
        <v>342</v>
      </c>
      <c r="C20" s="25">
        <f t="shared" si="2"/>
        <v>342</v>
      </c>
      <c r="D20" s="30">
        <v>241</v>
      </c>
      <c r="E20" s="30">
        <v>56</v>
      </c>
      <c r="F20" s="30">
        <v>13</v>
      </c>
      <c r="G20" s="30">
        <v>32</v>
      </c>
      <c r="H20" s="5">
        <v>0</v>
      </c>
      <c r="I20" s="30">
        <v>0</v>
      </c>
      <c r="J20" s="30">
        <v>2</v>
      </c>
      <c r="K20" s="30">
        <v>241</v>
      </c>
      <c r="L20" s="30">
        <v>56</v>
      </c>
      <c r="M20" s="30">
        <v>13</v>
      </c>
      <c r="N20" s="30">
        <v>32</v>
      </c>
      <c r="O20" s="5">
        <v>0</v>
      </c>
      <c r="P20" s="30">
        <v>0</v>
      </c>
      <c r="Q20" s="30">
        <v>2</v>
      </c>
    </row>
    <row r="21" spans="1:17" x14ac:dyDescent="0.35">
      <c r="A21" s="5" t="s">
        <v>20</v>
      </c>
      <c r="B21" s="25">
        <f t="shared" si="1"/>
        <v>4</v>
      </c>
      <c r="C21" s="25">
        <f t="shared" si="2"/>
        <v>4</v>
      </c>
      <c r="D21" s="30">
        <v>0</v>
      </c>
      <c r="E21" s="30">
        <v>0</v>
      </c>
      <c r="F21" s="30">
        <v>0</v>
      </c>
      <c r="G21" s="30">
        <v>0</v>
      </c>
      <c r="H21" s="5">
        <v>0</v>
      </c>
      <c r="I21" s="30">
        <v>4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5">
        <v>0</v>
      </c>
      <c r="P21" s="30">
        <v>4</v>
      </c>
      <c r="Q21" s="30">
        <v>0</v>
      </c>
    </row>
    <row r="22" spans="1:17" x14ac:dyDescent="0.35">
      <c r="A22" s="5" t="s">
        <v>21</v>
      </c>
      <c r="B22" s="25">
        <f t="shared" si="1"/>
        <v>73</v>
      </c>
      <c r="C22" s="25">
        <f t="shared" si="2"/>
        <v>125</v>
      </c>
      <c r="D22" s="30">
        <v>44</v>
      </c>
      <c r="E22" s="30">
        <v>23</v>
      </c>
      <c r="F22" s="30">
        <v>2</v>
      </c>
      <c r="G22" s="30">
        <v>4</v>
      </c>
      <c r="H22" s="5">
        <v>0</v>
      </c>
      <c r="I22" s="30">
        <v>0</v>
      </c>
      <c r="J22" s="30">
        <v>0</v>
      </c>
      <c r="K22" s="30">
        <v>76</v>
      </c>
      <c r="L22" s="30">
        <v>40</v>
      </c>
      <c r="M22" s="30">
        <v>4</v>
      </c>
      <c r="N22" s="30">
        <v>5</v>
      </c>
      <c r="O22" s="5">
        <v>0</v>
      </c>
      <c r="P22" s="30">
        <v>0</v>
      </c>
      <c r="Q22" s="30">
        <v>0</v>
      </c>
    </row>
    <row r="23" spans="1:17" x14ac:dyDescent="0.35">
      <c r="A23" s="5" t="s">
        <v>22</v>
      </c>
      <c r="B23" s="25">
        <f t="shared" si="1"/>
        <v>28</v>
      </c>
      <c r="C23" s="25">
        <f t="shared" si="2"/>
        <v>46</v>
      </c>
      <c r="D23" s="30">
        <v>16</v>
      </c>
      <c r="E23" s="30">
        <v>11</v>
      </c>
      <c r="F23" s="30">
        <v>0</v>
      </c>
      <c r="G23" s="30">
        <v>1</v>
      </c>
      <c r="H23" s="5">
        <v>0</v>
      </c>
      <c r="I23" s="30">
        <v>0</v>
      </c>
      <c r="J23" s="30">
        <v>0</v>
      </c>
      <c r="K23" s="30">
        <v>27</v>
      </c>
      <c r="L23" s="30">
        <v>18</v>
      </c>
      <c r="M23" s="30">
        <v>0</v>
      </c>
      <c r="N23" s="30">
        <v>1</v>
      </c>
      <c r="O23" s="5">
        <v>0</v>
      </c>
      <c r="P23" s="30">
        <v>0</v>
      </c>
      <c r="Q23" s="30">
        <v>0</v>
      </c>
    </row>
    <row r="24" spans="1:17" x14ac:dyDescent="0.35">
      <c r="A24" s="5" t="s">
        <v>23</v>
      </c>
      <c r="B24" s="25">
        <f t="shared" si="1"/>
        <v>109</v>
      </c>
      <c r="C24" s="25">
        <f t="shared" si="2"/>
        <v>180</v>
      </c>
      <c r="D24" s="30">
        <v>62</v>
      </c>
      <c r="E24" s="30">
        <v>32</v>
      </c>
      <c r="F24" s="30">
        <v>8</v>
      </c>
      <c r="G24" s="30">
        <v>7</v>
      </c>
      <c r="H24" s="5">
        <v>0</v>
      </c>
      <c r="I24" s="30">
        <v>0</v>
      </c>
      <c r="J24" s="30">
        <v>0</v>
      </c>
      <c r="K24" s="30">
        <v>100</v>
      </c>
      <c r="L24" s="30">
        <v>56</v>
      </c>
      <c r="M24" s="30">
        <v>13</v>
      </c>
      <c r="N24" s="30">
        <v>11</v>
      </c>
      <c r="O24" s="5">
        <v>0</v>
      </c>
      <c r="P24" s="30">
        <v>0</v>
      </c>
      <c r="Q24" s="30">
        <v>0</v>
      </c>
    </row>
    <row r="25" spans="1:17" x14ac:dyDescent="0.35">
      <c r="A25" s="5" t="s">
        <v>24</v>
      </c>
      <c r="B25" s="25">
        <f t="shared" si="1"/>
        <v>22</v>
      </c>
      <c r="C25" s="25">
        <f t="shared" si="2"/>
        <v>36</v>
      </c>
      <c r="D25" s="30">
        <v>9</v>
      </c>
      <c r="E25" s="30">
        <v>6</v>
      </c>
      <c r="F25" s="30">
        <v>6</v>
      </c>
      <c r="G25" s="30">
        <v>1</v>
      </c>
      <c r="H25" s="5">
        <v>0</v>
      </c>
      <c r="I25" s="30">
        <v>0</v>
      </c>
      <c r="J25" s="30">
        <v>0</v>
      </c>
      <c r="K25" s="30">
        <v>15</v>
      </c>
      <c r="L25" s="30">
        <v>8</v>
      </c>
      <c r="M25" s="30">
        <v>12</v>
      </c>
      <c r="N25" s="30">
        <v>1</v>
      </c>
      <c r="O25" s="5">
        <v>0</v>
      </c>
      <c r="P25" s="30">
        <v>0</v>
      </c>
      <c r="Q25" s="30">
        <v>0</v>
      </c>
    </row>
    <row r="26" spans="1:17" x14ac:dyDescent="0.35">
      <c r="A26" s="5" t="s">
        <v>25</v>
      </c>
      <c r="B26" s="25">
        <f t="shared" si="1"/>
        <v>72</v>
      </c>
      <c r="C26" s="25">
        <f t="shared" si="2"/>
        <v>110</v>
      </c>
      <c r="D26" s="30">
        <v>35</v>
      </c>
      <c r="E26" s="30">
        <v>25</v>
      </c>
      <c r="F26" s="30">
        <v>4</v>
      </c>
      <c r="G26" s="30">
        <v>8</v>
      </c>
      <c r="H26" s="5">
        <v>0</v>
      </c>
      <c r="I26" s="30">
        <v>0</v>
      </c>
      <c r="J26" s="30">
        <v>0</v>
      </c>
      <c r="K26" s="30">
        <v>55</v>
      </c>
      <c r="L26" s="30">
        <v>38</v>
      </c>
      <c r="M26" s="30">
        <v>7</v>
      </c>
      <c r="N26" s="30">
        <v>10</v>
      </c>
      <c r="O26" s="5">
        <v>0</v>
      </c>
      <c r="P26" s="30">
        <v>0</v>
      </c>
      <c r="Q26" s="30">
        <v>0</v>
      </c>
    </row>
    <row r="27" spans="1:17" x14ac:dyDescent="0.35">
      <c r="A27" s="5" t="s">
        <v>26</v>
      </c>
      <c r="B27" s="25">
        <f t="shared" si="1"/>
        <v>40</v>
      </c>
      <c r="C27" s="25">
        <f t="shared" si="2"/>
        <v>57</v>
      </c>
      <c r="D27" s="30">
        <v>22</v>
      </c>
      <c r="E27" s="30">
        <v>18</v>
      </c>
      <c r="F27" s="30">
        <v>0</v>
      </c>
      <c r="G27" s="30">
        <v>0</v>
      </c>
      <c r="H27" s="5">
        <v>0</v>
      </c>
      <c r="I27" s="30">
        <v>0</v>
      </c>
      <c r="J27" s="30">
        <v>0</v>
      </c>
      <c r="K27" s="30">
        <v>32</v>
      </c>
      <c r="L27" s="30">
        <v>25</v>
      </c>
      <c r="M27" s="30">
        <v>0</v>
      </c>
      <c r="N27" s="30">
        <v>0</v>
      </c>
      <c r="O27" s="5">
        <v>0</v>
      </c>
      <c r="P27" s="30">
        <v>0</v>
      </c>
      <c r="Q27" s="30">
        <v>0</v>
      </c>
    </row>
    <row r="28" spans="1:17" x14ac:dyDescent="0.35">
      <c r="A28" s="5" t="s">
        <v>27</v>
      </c>
      <c r="B28" s="25">
        <f t="shared" si="1"/>
        <v>25</v>
      </c>
      <c r="C28" s="25">
        <f t="shared" si="2"/>
        <v>37</v>
      </c>
      <c r="D28" s="30">
        <v>10</v>
      </c>
      <c r="E28" s="30">
        <v>6</v>
      </c>
      <c r="F28" s="30">
        <v>6</v>
      </c>
      <c r="G28" s="30">
        <v>3</v>
      </c>
      <c r="H28" s="5">
        <v>0</v>
      </c>
      <c r="I28" s="30">
        <v>0</v>
      </c>
      <c r="J28" s="30">
        <v>0</v>
      </c>
      <c r="K28" s="30">
        <v>14</v>
      </c>
      <c r="L28" s="30">
        <v>8</v>
      </c>
      <c r="M28" s="30">
        <v>10</v>
      </c>
      <c r="N28" s="30">
        <v>5</v>
      </c>
      <c r="O28" s="5">
        <v>0</v>
      </c>
      <c r="P28" s="30">
        <v>0</v>
      </c>
      <c r="Q28" s="30">
        <v>0</v>
      </c>
    </row>
    <row r="29" spans="1:17" x14ac:dyDescent="0.35">
      <c r="A29" s="5" t="s">
        <v>28</v>
      </c>
      <c r="B29" s="25">
        <f t="shared" si="1"/>
        <v>69</v>
      </c>
      <c r="C29" s="25">
        <f t="shared" si="2"/>
        <v>111</v>
      </c>
      <c r="D29" s="30">
        <v>41</v>
      </c>
      <c r="E29" s="30">
        <v>24</v>
      </c>
      <c r="F29" s="30">
        <v>3</v>
      </c>
      <c r="G29" s="30">
        <v>1</v>
      </c>
      <c r="H29" s="5">
        <v>0</v>
      </c>
      <c r="I29" s="30">
        <v>0</v>
      </c>
      <c r="J29" s="30">
        <v>0</v>
      </c>
      <c r="K29" s="30">
        <v>67</v>
      </c>
      <c r="L29" s="30">
        <v>36</v>
      </c>
      <c r="M29" s="30">
        <v>6</v>
      </c>
      <c r="N29" s="30">
        <v>2</v>
      </c>
      <c r="O29" s="5">
        <v>0</v>
      </c>
      <c r="P29" s="30">
        <v>0</v>
      </c>
      <c r="Q29" s="30">
        <v>0</v>
      </c>
    </row>
    <row r="30" spans="1:17" x14ac:dyDescent="0.35">
      <c r="A30" s="5" t="s">
        <v>29</v>
      </c>
      <c r="B30" s="25">
        <f t="shared" si="1"/>
        <v>17</v>
      </c>
      <c r="C30" s="25">
        <f t="shared" si="2"/>
        <v>24</v>
      </c>
      <c r="D30" s="30">
        <v>10</v>
      </c>
      <c r="E30" s="30">
        <v>5</v>
      </c>
      <c r="F30" s="30">
        <v>1</v>
      </c>
      <c r="G30" s="30">
        <v>1</v>
      </c>
      <c r="H30" s="5">
        <v>0</v>
      </c>
      <c r="I30" s="30">
        <v>0</v>
      </c>
      <c r="J30" s="30">
        <v>0</v>
      </c>
      <c r="K30" s="30">
        <v>15</v>
      </c>
      <c r="L30" s="30">
        <v>6</v>
      </c>
      <c r="M30" s="30">
        <v>2</v>
      </c>
      <c r="N30" s="30">
        <v>1</v>
      </c>
      <c r="O30" s="5">
        <v>0</v>
      </c>
      <c r="P30" s="30">
        <v>0</v>
      </c>
      <c r="Q30" s="30">
        <v>0</v>
      </c>
    </row>
    <row r="31" spans="1:17" x14ac:dyDescent="0.35">
      <c r="A31" s="5" t="s">
        <v>30</v>
      </c>
      <c r="B31" s="25">
        <f t="shared" si="1"/>
        <v>51</v>
      </c>
      <c r="C31" s="25">
        <f t="shared" si="2"/>
        <v>83</v>
      </c>
      <c r="D31" s="30">
        <v>34</v>
      </c>
      <c r="E31" s="30">
        <v>11</v>
      </c>
      <c r="F31" s="30">
        <v>3</v>
      </c>
      <c r="G31" s="30">
        <v>3</v>
      </c>
      <c r="H31" s="5">
        <v>0</v>
      </c>
      <c r="I31" s="30">
        <v>0</v>
      </c>
      <c r="J31" s="30">
        <v>0</v>
      </c>
      <c r="K31" s="30">
        <v>54</v>
      </c>
      <c r="L31" s="30">
        <v>19</v>
      </c>
      <c r="M31" s="30">
        <v>6</v>
      </c>
      <c r="N31" s="30">
        <v>4</v>
      </c>
      <c r="O31" s="5">
        <v>0</v>
      </c>
      <c r="P31" s="30">
        <v>0</v>
      </c>
      <c r="Q31" s="30">
        <v>0</v>
      </c>
    </row>
    <row r="32" spans="1:17" x14ac:dyDescent="0.35">
      <c r="A32" s="5" t="s">
        <v>71</v>
      </c>
      <c r="B32" s="25">
        <f t="shared" si="1"/>
        <v>73</v>
      </c>
      <c r="C32" s="25">
        <f t="shared" si="2"/>
        <v>76</v>
      </c>
      <c r="D32" s="30">
        <v>54</v>
      </c>
      <c r="E32" s="30">
        <v>17</v>
      </c>
      <c r="F32" s="30">
        <v>1</v>
      </c>
      <c r="G32" s="30">
        <v>1</v>
      </c>
      <c r="H32" s="5">
        <v>0</v>
      </c>
      <c r="I32" s="30">
        <v>0</v>
      </c>
      <c r="J32" s="30">
        <v>0</v>
      </c>
      <c r="K32" s="30">
        <v>57</v>
      </c>
      <c r="L32" s="30">
        <v>17</v>
      </c>
      <c r="M32" s="30">
        <v>1</v>
      </c>
      <c r="N32" s="30">
        <v>1</v>
      </c>
      <c r="O32" s="5">
        <v>0</v>
      </c>
      <c r="P32" s="30">
        <v>0</v>
      </c>
      <c r="Q32" s="30">
        <v>0</v>
      </c>
    </row>
    <row r="33" spans="1:26" x14ac:dyDescent="0.35">
      <c r="A33" s="5" t="s">
        <v>72</v>
      </c>
      <c r="B33" s="25">
        <f t="shared" si="1"/>
        <v>14</v>
      </c>
      <c r="C33" s="25">
        <f t="shared" si="2"/>
        <v>17</v>
      </c>
      <c r="D33" s="30">
        <v>7</v>
      </c>
      <c r="E33" s="30">
        <v>6</v>
      </c>
      <c r="F33" s="30">
        <v>1</v>
      </c>
      <c r="G33" s="30">
        <v>0</v>
      </c>
      <c r="H33" s="5">
        <v>0</v>
      </c>
      <c r="I33" s="30">
        <v>0</v>
      </c>
      <c r="J33" s="30">
        <v>0</v>
      </c>
      <c r="K33" s="30">
        <v>9</v>
      </c>
      <c r="L33" s="30">
        <v>7</v>
      </c>
      <c r="M33" s="30">
        <v>1</v>
      </c>
      <c r="N33" s="30">
        <v>0</v>
      </c>
      <c r="O33" s="5">
        <v>0</v>
      </c>
      <c r="P33" s="30">
        <v>0</v>
      </c>
      <c r="Q33" s="30">
        <v>0</v>
      </c>
    </row>
    <row r="34" spans="1:26" x14ac:dyDescent="0.35">
      <c r="A34" s="26">
        <v>3794</v>
      </c>
      <c r="B34" s="27">
        <f t="shared" ref="B34:Q34" si="3">SUM(B35:B38)</f>
        <v>137</v>
      </c>
      <c r="C34" s="27">
        <f t="shared" si="3"/>
        <v>215</v>
      </c>
      <c r="D34" s="8">
        <f t="shared" si="3"/>
        <v>86</v>
      </c>
      <c r="E34" s="8">
        <f t="shared" si="3"/>
        <v>28</v>
      </c>
      <c r="F34" s="8">
        <f t="shared" si="3"/>
        <v>3</v>
      </c>
      <c r="G34" s="8">
        <f t="shared" si="3"/>
        <v>20</v>
      </c>
      <c r="H34" s="8">
        <f t="shared" si="3"/>
        <v>0</v>
      </c>
      <c r="I34" s="8">
        <f t="shared" si="3"/>
        <v>0</v>
      </c>
      <c r="J34" s="8">
        <f t="shared" si="3"/>
        <v>0</v>
      </c>
      <c r="K34" s="8">
        <f t="shared" si="3"/>
        <v>130</v>
      </c>
      <c r="L34" s="8">
        <f t="shared" si="3"/>
        <v>46</v>
      </c>
      <c r="M34" s="8">
        <f t="shared" si="3"/>
        <v>6</v>
      </c>
      <c r="N34" s="8">
        <f t="shared" si="3"/>
        <v>33</v>
      </c>
      <c r="O34" s="8">
        <f t="shared" si="3"/>
        <v>0</v>
      </c>
      <c r="P34" s="8">
        <f t="shared" si="3"/>
        <v>0</v>
      </c>
      <c r="Q34" s="8">
        <f t="shared" si="3"/>
        <v>0</v>
      </c>
    </row>
    <row r="35" spans="1:26" x14ac:dyDescent="0.35">
      <c r="A35" s="5" t="s">
        <v>31</v>
      </c>
      <c r="B35" s="28">
        <f t="shared" ref="B35:B45" si="4">SUM(D35:I35)</f>
        <v>37</v>
      </c>
      <c r="C35" s="28">
        <f t="shared" ref="C35:C45" si="5">SUM(K35:P35)</f>
        <v>56</v>
      </c>
      <c r="D35" s="30">
        <v>25</v>
      </c>
      <c r="E35" s="30">
        <v>7</v>
      </c>
      <c r="F35" s="30">
        <v>1</v>
      </c>
      <c r="G35" s="30">
        <v>4</v>
      </c>
      <c r="H35" s="5">
        <v>0</v>
      </c>
      <c r="I35" s="29">
        <v>0</v>
      </c>
      <c r="J35" s="29">
        <v>0</v>
      </c>
      <c r="K35" s="30">
        <v>37</v>
      </c>
      <c r="L35" s="30">
        <v>12</v>
      </c>
      <c r="M35" s="30">
        <v>2</v>
      </c>
      <c r="N35" s="30">
        <v>5</v>
      </c>
      <c r="O35" s="5">
        <v>0</v>
      </c>
      <c r="P35" s="29">
        <v>0</v>
      </c>
      <c r="Q35" s="29">
        <v>0</v>
      </c>
    </row>
    <row r="36" spans="1:26" x14ac:dyDescent="0.35">
      <c r="A36" s="5" t="s">
        <v>32</v>
      </c>
      <c r="B36" s="28">
        <f t="shared" si="4"/>
        <v>34</v>
      </c>
      <c r="C36" s="28">
        <f t="shared" si="5"/>
        <v>51</v>
      </c>
      <c r="D36" s="30">
        <v>24</v>
      </c>
      <c r="E36" s="30">
        <v>8</v>
      </c>
      <c r="F36" s="30">
        <v>0</v>
      </c>
      <c r="G36" s="30">
        <v>2</v>
      </c>
      <c r="H36" s="5">
        <v>0</v>
      </c>
      <c r="I36" s="29">
        <v>0</v>
      </c>
      <c r="J36" s="29">
        <v>0</v>
      </c>
      <c r="K36" s="30">
        <v>34</v>
      </c>
      <c r="L36" s="30">
        <v>13</v>
      </c>
      <c r="M36" s="30">
        <v>0</v>
      </c>
      <c r="N36" s="30">
        <v>4</v>
      </c>
      <c r="O36" s="5">
        <v>0</v>
      </c>
      <c r="P36" s="29">
        <v>0</v>
      </c>
      <c r="Q36" s="29">
        <v>0</v>
      </c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5">
      <c r="A37" s="5" t="s">
        <v>33</v>
      </c>
      <c r="B37" s="28">
        <f t="shared" si="4"/>
        <v>60</v>
      </c>
      <c r="C37" s="28">
        <f t="shared" si="5"/>
        <v>101</v>
      </c>
      <c r="D37" s="30">
        <v>32</v>
      </c>
      <c r="E37" s="30">
        <v>12</v>
      </c>
      <c r="F37" s="30">
        <v>2</v>
      </c>
      <c r="G37" s="30">
        <v>14</v>
      </c>
      <c r="H37" s="5">
        <v>0</v>
      </c>
      <c r="I37" s="29">
        <v>0</v>
      </c>
      <c r="J37" s="29">
        <v>0</v>
      </c>
      <c r="K37" s="30">
        <v>53</v>
      </c>
      <c r="L37" s="30">
        <v>20</v>
      </c>
      <c r="M37" s="30">
        <v>4</v>
      </c>
      <c r="N37" s="30">
        <v>24</v>
      </c>
      <c r="O37" s="5">
        <v>0</v>
      </c>
      <c r="P37" s="29">
        <v>0</v>
      </c>
      <c r="Q37" s="29">
        <v>0</v>
      </c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5">
      <c r="A38" s="5" t="s">
        <v>73</v>
      </c>
      <c r="B38" s="28">
        <f t="shared" si="4"/>
        <v>6</v>
      </c>
      <c r="C38" s="28">
        <f t="shared" si="5"/>
        <v>7</v>
      </c>
      <c r="D38" s="30">
        <v>5</v>
      </c>
      <c r="E38" s="30">
        <v>1</v>
      </c>
      <c r="F38" s="30">
        <v>0</v>
      </c>
      <c r="G38" s="30">
        <v>0</v>
      </c>
      <c r="H38" s="5">
        <v>0</v>
      </c>
      <c r="I38" s="29">
        <v>0</v>
      </c>
      <c r="J38" s="29">
        <v>0</v>
      </c>
      <c r="K38" s="30">
        <v>6</v>
      </c>
      <c r="L38" s="30">
        <v>1</v>
      </c>
      <c r="M38" s="30">
        <v>0</v>
      </c>
      <c r="N38" s="30">
        <v>0</v>
      </c>
      <c r="O38" s="5">
        <v>0</v>
      </c>
      <c r="P38" s="29">
        <v>0</v>
      </c>
      <c r="Q38" s="29">
        <v>0</v>
      </c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35">
      <c r="A39" s="26">
        <v>3795</v>
      </c>
      <c r="B39" s="27">
        <f t="shared" si="4"/>
        <v>84</v>
      </c>
      <c r="C39" s="27">
        <f t="shared" si="5"/>
        <v>140</v>
      </c>
      <c r="D39" s="8">
        <f t="shared" ref="D39:Q39" si="6">SUM(D40:D41)</f>
        <v>31</v>
      </c>
      <c r="E39" s="8">
        <f t="shared" si="6"/>
        <v>10</v>
      </c>
      <c r="F39" s="8">
        <f t="shared" si="6"/>
        <v>14</v>
      </c>
      <c r="G39" s="8">
        <f t="shared" si="6"/>
        <v>29</v>
      </c>
      <c r="H39" s="8">
        <f t="shared" si="6"/>
        <v>0</v>
      </c>
      <c r="I39" s="8">
        <f t="shared" si="6"/>
        <v>0</v>
      </c>
      <c r="J39" s="8">
        <f t="shared" si="6"/>
        <v>0</v>
      </c>
      <c r="K39" s="8">
        <f t="shared" si="6"/>
        <v>53</v>
      </c>
      <c r="L39" s="8">
        <f t="shared" si="6"/>
        <v>16</v>
      </c>
      <c r="M39" s="8">
        <f t="shared" si="6"/>
        <v>24</v>
      </c>
      <c r="N39" s="8">
        <f t="shared" si="6"/>
        <v>47</v>
      </c>
      <c r="O39" s="8">
        <f t="shared" si="6"/>
        <v>0</v>
      </c>
      <c r="P39" s="8">
        <f t="shared" si="6"/>
        <v>0</v>
      </c>
      <c r="Q39" s="8">
        <f t="shared" si="6"/>
        <v>0</v>
      </c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35">
      <c r="A40" s="5" t="s">
        <v>34</v>
      </c>
      <c r="B40" s="28">
        <f t="shared" si="4"/>
        <v>20</v>
      </c>
      <c r="C40" s="28">
        <f t="shared" si="5"/>
        <v>32</v>
      </c>
      <c r="D40" s="30">
        <v>8</v>
      </c>
      <c r="E40" s="30">
        <v>3</v>
      </c>
      <c r="F40" s="30">
        <v>2</v>
      </c>
      <c r="G40" s="30">
        <v>7</v>
      </c>
      <c r="H40" s="5">
        <v>0</v>
      </c>
      <c r="I40" s="29">
        <v>0</v>
      </c>
      <c r="J40" s="29">
        <v>0</v>
      </c>
      <c r="K40" s="30">
        <v>14</v>
      </c>
      <c r="L40" s="30">
        <v>4</v>
      </c>
      <c r="M40" s="30">
        <v>4</v>
      </c>
      <c r="N40" s="30">
        <v>10</v>
      </c>
      <c r="O40" s="5">
        <v>0</v>
      </c>
      <c r="P40" s="29">
        <v>0</v>
      </c>
      <c r="Q40" s="29">
        <v>0</v>
      </c>
    </row>
    <row r="41" spans="1:26" x14ac:dyDescent="0.35">
      <c r="A41" s="5" t="s">
        <v>35</v>
      </c>
      <c r="B41" s="28">
        <f t="shared" si="4"/>
        <v>64</v>
      </c>
      <c r="C41" s="28">
        <f t="shared" si="5"/>
        <v>108</v>
      </c>
      <c r="D41" s="30">
        <v>23</v>
      </c>
      <c r="E41" s="30">
        <v>7</v>
      </c>
      <c r="F41" s="30">
        <v>12</v>
      </c>
      <c r="G41" s="30">
        <v>22</v>
      </c>
      <c r="H41" s="5">
        <v>0</v>
      </c>
      <c r="I41" s="29">
        <v>0</v>
      </c>
      <c r="J41" s="29">
        <v>0</v>
      </c>
      <c r="K41" s="30">
        <v>39</v>
      </c>
      <c r="L41" s="30">
        <v>12</v>
      </c>
      <c r="M41" s="30">
        <v>20</v>
      </c>
      <c r="N41" s="30">
        <v>37</v>
      </c>
      <c r="O41" s="5">
        <v>0</v>
      </c>
      <c r="P41" s="29">
        <v>0</v>
      </c>
      <c r="Q41" s="29">
        <v>0</v>
      </c>
    </row>
    <row r="42" spans="1:26" x14ac:dyDescent="0.35">
      <c r="A42" s="26">
        <v>3791</v>
      </c>
      <c r="B42" s="27">
        <f t="shared" si="4"/>
        <v>99</v>
      </c>
      <c r="C42" s="27">
        <f t="shared" si="5"/>
        <v>142</v>
      </c>
      <c r="D42" s="8">
        <f t="shared" ref="D42:Q42" si="7">SUM(D43:D45)</f>
        <v>54</v>
      </c>
      <c r="E42" s="8">
        <f t="shared" si="7"/>
        <v>34</v>
      </c>
      <c r="F42" s="8">
        <f t="shared" si="7"/>
        <v>5</v>
      </c>
      <c r="G42" s="8">
        <f t="shared" si="7"/>
        <v>6</v>
      </c>
      <c r="H42" s="8">
        <f t="shared" si="7"/>
        <v>0</v>
      </c>
      <c r="I42" s="8">
        <f t="shared" si="7"/>
        <v>0</v>
      </c>
      <c r="J42" s="8">
        <f t="shared" si="7"/>
        <v>0</v>
      </c>
      <c r="K42" s="8">
        <f t="shared" si="7"/>
        <v>77</v>
      </c>
      <c r="L42" s="8">
        <f t="shared" si="7"/>
        <v>50</v>
      </c>
      <c r="M42" s="8">
        <f t="shared" si="7"/>
        <v>8</v>
      </c>
      <c r="N42" s="8">
        <f t="shared" si="7"/>
        <v>7</v>
      </c>
      <c r="O42" s="8">
        <f t="shared" si="7"/>
        <v>0</v>
      </c>
      <c r="P42" s="8">
        <f t="shared" si="7"/>
        <v>0</v>
      </c>
      <c r="Q42" s="8">
        <f t="shared" si="7"/>
        <v>0</v>
      </c>
    </row>
    <row r="43" spans="1:26" x14ac:dyDescent="0.35">
      <c r="A43" s="5" t="s">
        <v>36</v>
      </c>
      <c r="B43" s="25">
        <f t="shared" si="4"/>
        <v>50</v>
      </c>
      <c r="C43" s="28">
        <f t="shared" si="5"/>
        <v>79</v>
      </c>
      <c r="D43" s="30">
        <v>22</v>
      </c>
      <c r="E43" s="30">
        <v>21</v>
      </c>
      <c r="F43" s="30">
        <v>3</v>
      </c>
      <c r="G43" s="30">
        <v>4</v>
      </c>
      <c r="H43" s="5">
        <v>0</v>
      </c>
      <c r="I43" s="29">
        <v>0</v>
      </c>
      <c r="J43" s="29">
        <v>0</v>
      </c>
      <c r="K43" s="30">
        <v>38</v>
      </c>
      <c r="L43" s="30">
        <v>31</v>
      </c>
      <c r="M43" s="30">
        <v>5</v>
      </c>
      <c r="N43" s="30">
        <v>5</v>
      </c>
      <c r="O43" s="5">
        <v>0</v>
      </c>
      <c r="P43" s="29">
        <v>0</v>
      </c>
      <c r="Q43" s="29">
        <v>0</v>
      </c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35">
      <c r="A44" s="5" t="s">
        <v>37</v>
      </c>
      <c r="B44" s="25">
        <f t="shared" si="4"/>
        <v>37</v>
      </c>
      <c r="C44" s="28">
        <f t="shared" si="5"/>
        <v>51</v>
      </c>
      <c r="D44" s="30">
        <v>24</v>
      </c>
      <c r="E44" s="30">
        <v>10</v>
      </c>
      <c r="F44" s="30">
        <v>1</v>
      </c>
      <c r="G44" s="30">
        <v>2</v>
      </c>
      <c r="H44" s="5">
        <v>0</v>
      </c>
      <c r="I44" s="29">
        <v>0</v>
      </c>
      <c r="J44" s="29">
        <v>0</v>
      </c>
      <c r="K44" s="30">
        <v>31</v>
      </c>
      <c r="L44" s="30">
        <v>16</v>
      </c>
      <c r="M44" s="30">
        <v>2</v>
      </c>
      <c r="N44" s="30">
        <v>2</v>
      </c>
      <c r="O44" s="5">
        <v>0</v>
      </c>
      <c r="P44" s="29">
        <v>0</v>
      </c>
      <c r="Q44" s="29">
        <v>0</v>
      </c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35">
      <c r="A45" s="5" t="s">
        <v>75</v>
      </c>
      <c r="B45" s="25">
        <f t="shared" si="4"/>
        <v>12</v>
      </c>
      <c r="C45" s="28">
        <f t="shared" si="5"/>
        <v>12</v>
      </c>
      <c r="D45" s="30">
        <v>8</v>
      </c>
      <c r="E45" s="30">
        <v>3</v>
      </c>
      <c r="F45" s="30">
        <v>1</v>
      </c>
      <c r="G45" s="30">
        <v>0</v>
      </c>
      <c r="H45" s="5">
        <v>0</v>
      </c>
      <c r="I45" s="29">
        <v>0</v>
      </c>
      <c r="J45" s="29">
        <v>0</v>
      </c>
      <c r="K45" s="30">
        <v>8</v>
      </c>
      <c r="L45" s="30">
        <v>3</v>
      </c>
      <c r="M45" s="30">
        <v>1</v>
      </c>
      <c r="N45" s="30">
        <v>0</v>
      </c>
      <c r="O45" s="5">
        <v>0</v>
      </c>
      <c r="P45" s="29">
        <v>0</v>
      </c>
      <c r="Q45" s="29">
        <v>0</v>
      </c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35">
      <c r="A46" s="11" t="s">
        <v>38</v>
      </c>
      <c r="B46" s="12">
        <f t="shared" ref="B46:Q46" si="8">B4+B34+B39+B42</f>
        <v>1410</v>
      </c>
      <c r="C46" s="12">
        <f t="shared" si="8"/>
        <v>2071</v>
      </c>
      <c r="D46" s="12">
        <f t="shared" si="8"/>
        <v>832</v>
      </c>
      <c r="E46" s="12">
        <f t="shared" si="8"/>
        <v>358</v>
      </c>
      <c r="F46" s="12">
        <f t="shared" si="8"/>
        <v>75</v>
      </c>
      <c r="G46" s="12">
        <f t="shared" si="8"/>
        <v>118</v>
      </c>
      <c r="H46" s="12">
        <f t="shared" si="8"/>
        <v>0</v>
      </c>
      <c r="I46" s="12">
        <f t="shared" si="8"/>
        <v>25</v>
      </c>
      <c r="J46" s="12">
        <f t="shared" si="8"/>
        <v>2</v>
      </c>
      <c r="K46" s="12">
        <f t="shared" si="8"/>
        <v>1126</v>
      </c>
      <c r="L46" s="12">
        <f t="shared" si="8"/>
        <v>512</v>
      </c>
      <c r="M46" s="12">
        <f t="shared" si="8"/>
        <v>119</v>
      </c>
      <c r="N46" s="12">
        <f t="shared" si="8"/>
        <v>161</v>
      </c>
      <c r="O46" s="12">
        <f t="shared" si="8"/>
        <v>0</v>
      </c>
      <c r="P46" s="12">
        <f t="shared" si="8"/>
        <v>151</v>
      </c>
      <c r="Q46" s="12">
        <f t="shared" si="8"/>
        <v>2</v>
      </c>
    </row>
    <row r="48" spans="1:26" ht="20" x14ac:dyDescent="0.35">
      <c r="A48" s="33" t="s">
        <v>39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1:13" ht="15" customHeight="1" x14ac:dyDescent="0.35">
      <c r="A49" s="34" t="s">
        <v>40</v>
      </c>
      <c r="B49" s="40" t="s">
        <v>6</v>
      </c>
      <c r="C49" s="40"/>
      <c r="D49" s="40" t="s">
        <v>7</v>
      </c>
      <c r="E49" s="40"/>
      <c r="F49" s="40" t="s">
        <v>8</v>
      </c>
      <c r="G49" s="40"/>
      <c r="H49" s="40" t="s">
        <v>9</v>
      </c>
      <c r="I49" s="40"/>
      <c r="J49" s="40" t="s">
        <v>41</v>
      </c>
      <c r="K49" s="40"/>
      <c r="L49" s="40" t="s">
        <v>42</v>
      </c>
      <c r="M49" s="40" t="s">
        <v>43</v>
      </c>
    </row>
    <row r="50" spans="1:13" x14ac:dyDescent="0.35">
      <c r="A50" s="34"/>
      <c r="B50" s="13" t="s">
        <v>44</v>
      </c>
      <c r="C50" s="13" t="s">
        <v>45</v>
      </c>
      <c r="D50" s="13" t="s">
        <v>44</v>
      </c>
      <c r="E50" s="13" t="s">
        <v>45</v>
      </c>
      <c r="F50" s="13" t="s">
        <v>44</v>
      </c>
      <c r="G50" s="13" t="s">
        <v>45</v>
      </c>
      <c r="H50" s="13" t="s">
        <v>44</v>
      </c>
      <c r="I50" s="13" t="s">
        <v>45</v>
      </c>
      <c r="J50" s="13" t="s">
        <v>44</v>
      </c>
      <c r="K50" s="13" t="s">
        <v>45</v>
      </c>
      <c r="L50" s="40"/>
      <c r="M50" s="40"/>
    </row>
    <row r="51" spans="1:13" x14ac:dyDescent="0.35">
      <c r="A51" s="14" t="s">
        <v>46</v>
      </c>
      <c r="B51" s="31">
        <v>461</v>
      </c>
      <c r="C51" s="31">
        <v>809</v>
      </c>
      <c r="D51" s="31">
        <v>252</v>
      </c>
      <c r="E51" s="31">
        <v>430</v>
      </c>
      <c r="F51" s="31">
        <v>54</v>
      </c>
      <c r="G51" s="31">
        <v>99</v>
      </c>
      <c r="H51" s="31">
        <v>81</v>
      </c>
      <c r="I51" s="31">
        <v>126</v>
      </c>
      <c r="J51" s="31">
        <v>12</v>
      </c>
      <c r="K51" s="31">
        <v>85</v>
      </c>
      <c r="L51" s="32">
        <f t="shared" ref="L51:M53" si="9">SUM(B51+D51+F51+H51+J51)</f>
        <v>860</v>
      </c>
      <c r="M51" s="32">
        <f t="shared" si="9"/>
        <v>1549</v>
      </c>
    </row>
    <row r="52" spans="1:13" x14ac:dyDescent="0.35">
      <c r="A52" s="14" t="s">
        <v>76</v>
      </c>
      <c r="B52" s="31">
        <v>73</v>
      </c>
      <c r="C52" s="31">
        <v>80</v>
      </c>
      <c r="D52" s="31">
        <v>27</v>
      </c>
      <c r="E52" s="31">
        <v>28</v>
      </c>
      <c r="F52" s="31">
        <v>3</v>
      </c>
      <c r="G52" s="31">
        <v>3</v>
      </c>
      <c r="H52" s="31">
        <v>1</v>
      </c>
      <c r="I52" s="31">
        <v>1</v>
      </c>
      <c r="J52" s="31">
        <v>0</v>
      </c>
      <c r="K52" s="31">
        <v>0</v>
      </c>
      <c r="L52" s="32">
        <f t="shared" si="9"/>
        <v>104</v>
      </c>
      <c r="M52" s="32">
        <f t="shared" si="9"/>
        <v>112</v>
      </c>
    </row>
    <row r="53" spans="1:13" x14ac:dyDescent="0.35">
      <c r="A53" s="14" t="s">
        <v>47</v>
      </c>
      <c r="B53" s="31">
        <v>267</v>
      </c>
      <c r="C53" s="31">
        <v>267</v>
      </c>
      <c r="D53" s="31">
        <v>64</v>
      </c>
      <c r="E53" s="31">
        <v>64</v>
      </c>
      <c r="F53" s="31">
        <v>13</v>
      </c>
      <c r="G53" s="31">
        <v>13</v>
      </c>
      <c r="H53" s="31">
        <v>0</v>
      </c>
      <c r="I53" s="31">
        <v>0</v>
      </c>
      <c r="J53" s="31">
        <v>4</v>
      </c>
      <c r="K53" s="31">
        <v>66</v>
      </c>
      <c r="L53" s="32">
        <f t="shared" si="9"/>
        <v>348</v>
      </c>
      <c r="M53" s="32">
        <f t="shared" si="9"/>
        <v>410</v>
      </c>
    </row>
    <row r="54" spans="1:13" x14ac:dyDescent="0.35">
      <c r="A54" s="16" t="s">
        <v>48</v>
      </c>
      <c r="B54" s="17">
        <f t="shared" ref="B54:M54" si="10">SUM(B51:B53)</f>
        <v>801</v>
      </c>
      <c r="C54" s="17">
        <f t="shared" si="10"/>
        <v>1156</v>
      </c>
      <c r="D54" s="17">
        <f t="shared" si="10"/>
        <v>343</v>
      </c>
      <c r="E54" s="17">
        <f t="shared" si="10"/>
        <v>522</v>
      </c>
      <c r="F54" s="17">
        <f t="shared" si="10"/>
        <v>70</v>
      </c>
      <c r="G54" s="17">
        <f t="shared" si="10"/>
        <v>115</v>
      </c>
      <c r="H54" s="17">
        <f t="shared" si="10"/>
        <v>82</v>
      </c>
      <c r="I54" s="17">
        <f t="shared" si="10"/>
        <v>127</v>
      </c>
      <c r="J54" s="17">
        <f t="shared" si="10"/>
        <v>16</v>
      </c>
      <c r="K54" s="17">
        <f t="shared" si="10"/>
        <v>151</v>
      </c>
      <c r="L54" s="17">
        <f t="shared" si="10"/>
        <v>1312</v>
      </c>
      <c r="M54" s="17">
        <f t="shared" si="10"/>
        <v>2071</v>
      </c>
    </row>
  </sheetData>
  <mergeCells count="15">
    <mergeCell ref="A1:P1"/>
    <mergeCell ref="A2:A3"/>
    <mergeCell ref="B2:B3"/>
    <mergeCell ref="C2:C3"/>
    <mergeCell ref="D2:J2"/>
    <mergeCell ref="K2:P2"/>
    <mergeCell ref="A48:M48"/>
    <mergeCell ref="A49:A50"/>
    <mergeCell ref="B49:C49"/>
    <mergeCell ref="D49:E49"/>
    <mergeCell ref="F49:G49"/>
    <mergeCell ref="H49:I49"/>
    <mergeCell ref="J49:K49"/>
    <mergeCell ref="L49:L50"/>
    <mergeCell ref="M49:M50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CenDepAcm</dc:creator>
  <dc:description/>
  <cp:lastModifiedBy>CenDepPor06</cp:lastModifiedBy>
  <cp:revision>58</cp:revision>
  <dcterms:created xsi:type="dcterms:W3CDTF">2021-02-11T16:44:36Z</dcterms:created>
  <dcterms:modified xsi:type="dcterms:W3CDTF">2026-07-02T06:27:45Z</dcterms:modified>
  <dc:language>es-CO</dc:language>
</cp:coreProperties>
</file>