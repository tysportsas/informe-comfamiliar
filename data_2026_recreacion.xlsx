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ERO" sheetId="1" r:id="rId4"/>
    <sheet state="visible" name="FEBRERO" sheetId="2" r:id="rId5"/>
    <sheet state="visible" name="MARZO" sheetId="3" r:id="rId6"/>
    <sheet state="visible" name="ABRIL" sheetId="4" r:id="rId7"/>
    <sheet state="visible" name="MAYO" sheetId="5" r:id="rId8"/>
    <sheet state="visible" name="JUNIO" sheetId="6" r:id="rId9"/>
  </sheets>
  <definedNames/>
  <calcPr/>
  <extLst>
    <ext uri="GoogleSheetsCustomDataVersion2">
      <go:sheetsCustomData xmlns:go="http://customooxmlschemas.google.com/" r:id="rId10" roundtripDataChecksum="0QGhrUH421lQXl9NMcbnAvSkmj9mQsdQlPcuX0wwhiw="/>
    </ext>
  </extLst>
</workbook>
</file>

<file path=xl/sharedStrings.xml><?xml version="1.0" encoding="utf-8"?>
<sst xmlns="http://schemas.openxmlformats.org/spreadsheetml/2006/main" count="432" uniqueCount="90">
  <si>
    <t>NÚMERO DE SERVICIOS FACTURADOS</t>
  </si>
  <si>
    <t>ACTIVIDAD</t>
  </si>
  <si>
    <t>ENERO 2026 USUARIOS</t>
  </si>
  <si>
    <t>ENERO 2026 USOS</t>
  </si>
  <si>
    <t>CATEGORIAS USUARIOS</t>
  </si>
  <si>
    <t>CATEGORIAS USOS</t>
  </si>
  <si>
    <t>A</t>
  </si>
  <si>
    <t>B</t>
  </si>
  <si>
    <t>C</t>
  </si>
  <si>
    <t>D</t>
  </si>
  <si>
    <t>E</t>
  </si>
  <si>
    <t>ACTIVIDADES RECREATIVAS EMPRESAS</t>
  </si>
  <si>
    <t>ANIMADOR SOCIOCULTURAL</t>
  </si>
  <si>
    <t>CLASE INDIVIDUAL DE CANTO Y EXPRESION</t>
  </si>
  <si>
    <t>CLASES INDIVIDUALES DE INSTRUMENTO E INICIACION MUSICAL</t>
  </si>
  <si>
    <t>CORO COMFAMILIAR</t>
  </si>
  <si>
    <t>CURSO DE VIOLIN</t>
  </si>
  <si>
    <t>INICIACION MUSICAL</t>
  </si>
  <si>
    <t>RECREADOR EMPRESA</t>
  </si>
  <si>
    <t>RECREADOR FIESTA INFANTIL</t>
  </si>
  <si>
    <t>TALLER DE ARTES</t>
  </si>
  <si>
    <t>TALLER DE BAILE MODERNO</t>
  </si>
  <si>
    <t>TALLER DE BALLET</t>
  </si>
  <si>
    <t>TALLER DE BATERIA</t>
  </si>
  <si>
    <t>TALLER DE CHEFF INFANTIL</t>
  </si>
  <si>
    <t>TALLER DE DIBUJO</t>
  </si>
  <si>
    <t>TALLER DE GUITARRA</t>
  </si>
  <si>
    <t>TALLER DE INGLES LUDICO</t>
  </si>
  <si>
    <t>TALLER DE ORGANETA (T M)</t>
  </si>
  <si>
    <t>TALLER DE TECNICA VOCAL</t>
  </si>
  <si>
    <t>VACACIONES RECREATIVAS</t>
  </si>
  <si>
    <t>BALLET SANTA ROSA</t>
  </si>
  <si>
    <t>CHEF INFAN SANTAROSA</t>
  </si>
  <si>
    <t>INGLES LUDICO STA ROSA</t>
  </si>
  <si>
    <t>INGLES LUDICO QUINCHIA</t>
  </si>
  <si>
    <t>TALLER PINTURA QUINCHIA</t>
  </si>
  <si>
    <t>INGLES LUDICO DOSQUEBRADAS</t>
  </si>
  <si>
    <t>TALLER DIBUJO DOSQUEBRADAS</t>
  </si>
  <si>
    <t>VACACIONES RECREATIVAS ARTISTICAS DOSQUEBRADAS</t>
  </si>
  <si>
    <t>TOTAL GENERAL</t>
  </si>
  <si>
    <t>INFORMACION SUPER</t>
  </si>
  <si>
    <t>ACTIVIDAD SUPER</t>
  </si>
  <si>
    <t>Empresas</t>
  </si>
  <si>
    <t>Total PERSONAS</t>
  </si>
  <si>
    <t>Total USOS</t>
  </si>
  <si>
    <t>PERSONAS</t>
  </si>
  <si>
    <t>USOS</t>
  </si>
  <si>
    <t>Recreación dirigida</t>
  </si>
  <si>
    <t>Vacaciones recreativas</t>
  </si>
  <si>
    <t>Total general</t>
  </si>
  <si>
    <t>FEBRERO 2026 USUARIOS</t>
  </si>
  <si>
    <t>FEBRERO 2026 USOS</t>
  </si>
  <si>
    <t>G</t>
  </si>
  <si>
    <t>INSTRUCTOR DE BIENESTAR</t>
  </si>
  <si>
    <t>RECREACIÓN VINCULACIÓN COLEGIOS RISARALDA</t>
  </si>
  <si>
    <t>EMPRESAS</t>
  </si>
  <si>
    <t>TOTAL PERSONAS</t>
  </si>
  <si>
    <t>TOTAL USOS</t>
  </si>
  <si>
    <t>EERSONAS</t>
  </si>
  <si>
    <t>MARZO 2026 USUARIOS</t>
  </si>
  <si>
    <t>MARZO 2026 USOS</t>
  </si>
  <si>
    <t>ALQUILER AMPLIFICACION</t>
  </si>
  <si>
    <t xml:space="preserve">CLASE INDIVIDUAL DE CANTO Y EXPRESION </t>
  </si>
  <si>
    <t>DIA DE LA FAMILIA</t>
  </si>
  <si>
    <t>ESTIMULACION MOTRIZ DOSQUEBRADAS</t>
  </si>
  <si>
    <t>Programas vacacionales y turísticos (infraestructura de la caja)</t>
  </si>
  <si>
    <t>Otros eventos de tipo social celebrados con o sin infraestructura de las Cajas de Compensación Famil</t>
  </si>
  <si>
    <t>ABRIL 2026 USUARIOS</t>
  </si>
  <si>
    <t>ABRIL 2026 USOS</t>
  </si>
  <si>
    <t>CELEBRACIÓN DEL MES DE LA NIÑEZ Y LA RECREACIÓN</t>
  </si>
  <si>
    <t>DIA MUNDIAL DE LA ACTIVIDAD FISICA</t>
  </si>
  <si>
    <t>MACRO JUEGO</t>
  </si>
  <si>
    <t>MAYO 2026 USUARIOS</t>
  </si>
  <si>
    <t>MAYO 2026 USOS</t>
  </si>
  <si>
    <t>F</t>
  </si>
  <si>
    <t xml:space="preserve">E </t>
  </si>
  <si>
    <t>CELBRACIÓN DIA DE LAS MADRES ACTIVIDAD FISICA</t>
  </si>
  <si>
    <t>EVENTO FERIA SABOR A MI</t>
  </si>
  <si>
    <t>FESTIVAL DEL MOVIMIENTO ESTIMULACIÓN MOTRIZ</t>
  </si>
  <si>
    <t>MUESTRA ARTISTICA DE BALLET SANTA ROSA</t>
  </si>
  <si>
    <t>TRAVESIA CICLISTICA</t>
  </si>
  <si>
    <t>VIA ACTIVA DOSQUEBRADAS</t>
  </si>
  <si>
    <t>Total PERSONAS_</t>
  </si>
  <si>
    <t>Total USOS_</t>
  </si>
  <si>
    <t>KARAOKE</t>
  </si>
  <si>
    <t>VACACIONES RECREATIVAS ARTISTICAS PEREIRA</t>
  </si>
  <si>
    <t>VACACIONES RECREO DEPORTIVAS PEREIRA</t>
  </si>
  <si>
    <t>VACACIONES RECREATIVAS ARTISTICAS SANTA ROSA</t>
  </si>
  <si>
    <t>VACACIONES RECREATIVAS ARTISTICAS QUINCHIA</t>
  </si>
  <si>
    <t>Etiquetas de fila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</si>
</sst>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1.0"/>
      <color rgb="FF000000"/>
      <name val="Calibri"/>
      <scheme val="minor"/>
    </font>
    <font>
      <b/>
      <sz val="20.0"/>
      <color rgb="FF000000"/>
      <name val="Calibri"/>
    </font>
    <font/>
    <font>
      <b/>
      <u/>
      <sz val="10.0"/>
      <color rgb="FF002060"/>
      <name val="Arial"/>
    </font>
    <font>
      <b/>
      <u/>
      <sz val="10.0"/>
      <color rgb="FF002060"/>
      <name val="Arial"/>
    </font>
    <font>
      <b/>
      <u/>
      <sz val="10.0"/>
      <color rgb="FF002060"/>
      <name val="Arial"/>
    </font>
    <font>
      <b/>
      <u/>
      <sz val="10.0"/>
      <color rgb="FF002060"/>
      <name val="Arial"/>
    </font>
    <font>
      <b/>
      <sz val="10.0"/>
      <color rgb="FF000000"/>
      <name val="Arial"/>
    </font>
    <font>
      <b/>
      <sz val="11.0"/>
      <color rgb="FF000000"/>
      <name val="Calibri"/>
    </font>
    <font>
      <sz val="10.0"/>
      <color rgb="FF000000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sz val="11.0"/>
      <color rgb="FF000000"/>
      <name val="Calibri"/>
    </font>
    <font>
      <sz val="11.0"/>
      <color rgb="FF000000"/>
      <name val="Arial"/>
    </font>
    <font>
      <b/>
      <u/>
      <sz val="10.0"/>
      <color rgb="FF002060"/>
      <name val="Arial"/>
    </font>
    <font>
      <b/>
      <u/>
      <sz val="10.0"/>
      <color rgb="FF002060"/>
      <name val="Arial"/>
    </font>
    <font>
      <b/>
      <u/>
      <sz val="10.0"/>
      <color rgb="FF002060"/>
      <name val="Arial"/>
    </font>
    <font>
      <b/>
      <u/>
      <sz val="10.0"/>
      <color rgb="FF002060"/>
      <name val="Arial"/>
    </font>
    <font>
      <sz val="11.0"/>
      <color theme="1"/>
      <name val="Calibri"/>
    </font>
    <font>
      <b/>
      <sz val="20.0"/>
      <color theme="1"/>
      <name val="Calibri"/>
    </font>
    <font>
      <b/>
      <sz val="11.0"/>
      <color theme="1"/>
      <name val="Calibri"/>
    </font>
    <font>
      <b/>
      <sz val="16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7CAAC"/>
        <bgColor rgb="FFF7CAAC"/>
      </patternFill>
    </fill>
    <fill>
      <patternFill patternType="solid">
        <fgColor rgb="FFB4C6E7"/>
        <bgColor rgb="FFB4C6E7"/>
      </patternFill>
    </fill>
    <fill>
      <patternFill patternType="solid">
        <fgColor rgb="FFFFA6A6"/>
        <bgColor rgb="FFFFA6A6"/>
      </patternFill>
    </fill>
  </fills>
  <borders count="29">
    <border/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bottom style="thin">
        <color rgb="FF9CC2E5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0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0"/>
    </xf>
    <xf borderId="5" fillId="3" fontId="4" numFmtId="0" xfId="0" applyAlignment="1" applyBorder="1" applyFont="1">
      <alignment horizontal="center" shrinkToFit="0" vertical="center" wrapText="1"/>
    </xf>
    <xf borderId="6" fillId="3" fontId="5" numFmtId="0" xfId="0" applyAlignment="1" applyBorder="1" applyFont="1">
      <alignment horizontal="center" shrinkToFit="0" vertical="center" wrapText="0"/>
    </xf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3" fontId="6" numFmtId="0" xfId="0" applyAlignment="1" applyBorder="1" applyFont="1">
      <alignment horizontal="center" shrinkToFit="0" vertical="bottom" wrapText="0"/>
    </xf>
    <xf borderId="12" fillId="0" fontId="7" numFmtId="0" xfId="0" applyAlignment="1" applyBorder="1" applyFont="1">
      <alignment horizontal="center" shrinkToFit="0" vertical="bottom" wrapText="0"/>
    </xf>
    <xf borderId="0" fillId="0" fontId="8" numFmtId="0" xfId="0" applyAlignment="1" applyFont="1">
      <alignment shrinkToFit="0" vertical="bottom" wrapText="0"/>
    </xf>
    <xf borderId="12" fillId="0" fontId="9" numFmtId="0" xfId="0" applyAlignment="1" applyBorder="1" applyFont="1">
      <alignment horizontal="center" shrinkToFit="0" vertical="bottom" wrapText="0"/>
    </xf>
    <xf borderId="0" fillId="0" fontId="7" numFmtId="0" xfId="0" applyAlignment="1" applyFont="1">
      <alignment horizontal="center" shrinkToFit="0" vertical="center" wrapText="0"/>
    </xf>
    <xf borderId="12" fillId="0" fontId="7" numFmtId="0" xfId="0" applyAlignment="1" applyBorder="1" applyFont="1">
      <alignment horizontal="center" shrinkToFit="0" vertical="center" wrapText="0"/>
    </xf>
    <xf borderId="12" fillId="0" fontId="9" numFmtId="0" xfId="0" applyAlignment="1" applyBorder="1" applyFont="1">
      <alignment horizontal="center" shrinkToFit="0" vertical="center" wrapText="0"/>
    </xf>
    <xf borderId="13" fillId="2" fontId="8" numFmtId="0" xfId="0" applyAlignment="1" applyBorder="1" applyFont="1">
      <alignment horizontal="center" shrinkToFit="0" vertical="bottom" wrapText="0"/>
    </xf>
    <xf borderId="12" fillId="2" fontId="8" numFmtId="0" xfId="0" applyAlignment="1" applyBorder="1" applyFont="1">
      <alignment horizontal="center" shrinkToFit="0" vertical="bottom" wrapText="0"/>
    </xf>
    <xf borderId="14" fillId="3" fontId="10" numFmtId="0" xfId="0" applyAlignment="1" applyBorder="1" applyFont="1">
      <alignment horizontal="center" shrinkToFit="0" vertical="center" wrapText="0"/>
    </xf>
    <xf borderId="15" fillId="0" fontId="2" numFmtId="0" xfId="0" applyBorder="1" applyFont="1"/>
    <xf borderId="16" fillId="0" fontId="2" numFmtId="0" xfId="0" applyBorder="1" applyFont="1"/>
    <xf borderId="17" fillId="2" fontId="11" numFmtId="0" xfId="0" applyAlignment="1" applyBorder="1" applyFont="1">
      <alignment horizontal="center" shrinkToFit="0" vertical="center" wrapText="0"/>
    </xf>
    <xf borderId="12" fillId="2" fontId="8" numFmtId="0" xfId="0" applyAlignment="1" applyBorder="1" applyFont="1">
      <alignment horizontal="center" shrinkToFit="0" vertical="center" wrapText="0"/>
    </xf>
    <xf borderId="18" fillId="0" fontId="9" numFmtId="0" xfId="0" applyAlignment="1" applyBorder="1" applyFont="1">
      <alignment horizontal="center" shrinkToFit="0" vertical="bottom" wrapText="0"/>
    </xf>
    <xf borderId="18" fillId="0" fontId="12" numFmtId="0" xfId="0" applyAlignment="1" applyBorder="1" applyFont="1">
      <alignment horizontal="center" shrinkToFit="0" vertical="bottom" wrapText="0"/>
    </xf>
    <xf borderId="18" fillId="4" fontId="12" numFmtId="0" xfId="0" applyAlignment="1" applyBorder="1" applyFill="1" applyFont="1">
      <alignment horizontal="center" shrinkToFit="0" vertical="bottom" wrapText="0"/>
    </xf>
    <xf borderId="6" fillId="2" fontId="8" numFmtId="0" xfId="0" applyAlignment="1" applyBorder="1" applyFont="1">
      <alignment horizontal="center" shrinkToFit="0" vertical="center" wrapText="0"/>
    </xf>
    <xf borderId="12" fillId="0" fontId="13" numFmtId="0" xfId="0" applyAlignment="1" applyBorder="1" applyFont="1">
      <alignment horizontal="center" shrinkToFit="0" vertical="bottom" wrapText="0"/>
    </xf>
    <xf borderId="0" fillId="0" fontId="11" numFmtId="0" xfId="0" applyAlignment="1" applyFont="1">
      <alignment horizontal="center" shrinkToFit="0" vertical="center" wrapText="0"/>
    </xf>
    <xf borderId="12" fillId="0" fontId="11" numFmtId="0" xfId="0" applyAlignment="1" applyBorder="1" applyFont="1">
      <alignment horizontal="center" shrinkToFit="0" vertical="center" wrapText="0"/>
    </xf>
    <xf borderId="12" fillId="0" fontId="13" numFmtId="0" xfId="0" applyAlignment="1" applyBorder="1" applyFont="1">
      <alignment horizontal="center" shrinkToFit="0" vertical="center" wrapText="0"/>
    </xf>
    <xf borderId="18" fillId="0" fontId="13" numFmtId="0" xfId="0" applyAlignment="1" applyBorder="1" applyFont="1">
      <alignment horizontal="center" shrinkToFit="0" vertical="bottom" wrapText="0"/>
    </xf>
    <xf borderId="19" fillId="2" fontId="1" numFmtId="0" xfId="0" applyAlignment="1" applyBorder="1" applyFont="1">
      <alignment horizontal="center" shrinkToFit="0" vertical="center" wrapText="0"/>
    </xf>
    <xf borderId="20" fillId="0" fontId="2" numFmtId="0" xfId="0" applyBorder="1" applyFont="1"/>
    <xf borderId="21" fillId="0" fontId="2" numFmtId="0" xfId="0" applyBorder="1" applyFont="1"/>
    <xf borderId="22" fillId="3" fontId="14" numFmtId="0" xfId="0" applyAlignment="1" applyBorder="1" applyFont="1">
      <alignment horizontal="center" shrinkToFit="0" vertical="center" wrapText="0"/>
    </xf>
    <xf borderId="22" fillId="3" fontId="15" numFmtId="0" xfId="0" applyAlignment="1" applyBorder="1" applyFont="1">
      <alignment horizontal="center" shrinkToFit="0" vertical="center" wrapText="1"/>
    </xf>
    <xf borderId="19" fillId="3" fontId="16" numFmtId="0" xfId="0" applyAlignment="1" applyBorder="1" applyFont="1">
      <alignment horizontal="center" shrinkToFit="0" vertical="center" wrapText="0"/>
    </xf>
    <xf borderId="23" fillId="0" fontId="2" numFmtId="0" xfId="0" applyBorder="1" applyFont="1"/>
    <xf borderId="18" fillId="3" fontId="17" numFmtId="0" xfId="0" applyAlignment="1" applyBorder="1" applyFont="1">
      <alignment horizontal="center" shrinkToFit="0" vertical="bottom" wrapText="0"/>
    </xf>
    <xf borderId="0" fillId="0" fontId="18" numFmtId="0" xfId="0" applyAlignment="1" applyFont="1">
      <alignment vertical="bottom"/>
    </xf>
    <xf borderId="1" fillId="2" fontId="19" numFmtId="0" xfId="0" applyAlignment="1" applyBorder="1" applyFont="1">
      <alignment horizontal="center"/>
    </xf>
    <xf borderId="24" fillId="3" fontId="18" numFmtId="0" xfId="0" applyAlignment="1" applyBorder="1" applyFont="1">
      <alignment vertical="bottom"/>
    </xf>
    <xf borderId="25" fillId="3" fontId="20" numFmtId="0" xfId="0" applyAlignment="1" applyBorder="1" applyFont="1">
      <alignment horizontal="right" vertical="bottom"/>
    </xf>
    <xf borderId="26" fillId="3" fontId="18" numFmtId="0" xfId="0" applyAlignment="1" applyBorder="1" applyFont="1">
      <alignment vertical="bottom"/>
    </xf>
    <xf borderId="27" fillId="3" fontId="20" numFmtId="0" xfId="0" applyAlignment="1" applyBorder="1" applyFont="1">
      <alignment horizontal="right" vertical="bottom"/>
    </xf>
    <xf borderId="6" fillId="3" fontId="20" numFmtId="0" xfId="0" applyAlignment="1" applyBorder="1" applyFont="1">
      <alignment horizontal="center" vertical="bottom"/>
    </xf>
    <xf borderId="26" fillId="3" fontId="20" numFmtId="0" xfId="0" applyAlignment="1" applyBorder="1" applyFont="1">
      <alignment horizontal="center" vertical="bottom"/>
    </xf>
    <xf borderId="12" fillId="3" fontId="20" numFmtId="0" xfId="0" applyAlignment="1" applyBorder="1" applyFont="1">
      <alignment horizontal="center" vertical="bottom"/>
    </xf>
    <xf borderId="12" fillId="3" fontId="20" numFmtId="0" xfId="0" applyAlignment="1" applyBorder="1" applyFont="1">
      <alignment vertical="bottom"/>
    </xf>
    <xf borderId="12" fillId="3" fontId="18" numFmtId="0" xfId="0" applyAlignment="1" applyBorder="1" applyFont="1">
      <alignment vertical="bottom"/>
    </xf>
    <xf borderId="28" fillId="0" fontId="20" numFmtId="0" xfId="0" applyAlignment="1" applyBorder="1" applyFont="1">
      <alignment vertical="bottom"/>
    </xf>
    <xf borderId="12" fillId="0" fontId="20" numFmtId="0" xfId="0" applyAlignment="1" applyBorder="1" applyFont="1">
      <alignment horizontal="right" vertical="bottom"/>
    </xf>
    <xf borderId="12" fillId="0" fontId="20" numFmtId="0" xfId="0" applyAlignment="1" applyBorder="1" applyFont="1">
      <alignment horizontal="center" vertical="bottom"/>
    </xf>
    <xf borderId="12" fillId="0" fontId="18" numFmtId="0" xfId="0" applyAlignment="1" applyBorder="1" applyFont="1">
      <alignment vertical="bottom"/>
    </xf>
    <xf borderId="12" fillId="0" fontId="18" numFmtId="0" xfId="0" applyAlignment="1" applyBorder="1" applyFont="1">
      <alignment horizontal="right" vertical="bottom"/>
    </xf>
    <xf borderId="12" fillId="0" fontId="18" numFmtId="0" xfId="0" applyAlignment="1" applyBorder="1" applyFont="1">
      <alignment horizontal="center" vertical="bottom"/>
    </xf>
    <xf borderId="13" fillId="2" fontId="20" numFmtId="0" xfId="0" applyAlignment="1" applyBorder="1" applyFont="1">
      <alignment horizontal="center" vertical="bottom"/>
    </xf>
    <xf borderId="14" fillId="3" fontId="21" numFmtId="0" xfId="0" applyAlignment="1" applyBorder="1" applyFont="1">
      <alignment horizontal="center"/>
    </xf>
    <xf borderId="12" fillId="2" fontId="18" numFmtId="0" xfId="0" applyBorder="1" applyFont="1"/>
    <xf borderId="12" fillId="2" fontId="20" numFmtId="0" xfId="0" applyAlignment="1" applyBorder="1" applyFont="1">
      <alignment horizontal="center"/>
    </xf>
    <xf borderId="0" fillId="0" fontId="18" numFmtId="0" xfId="0" applyAlignment="1" applyFont="1">
      <alignment horizontal="right" vertical="bottom"/>
    </xf>
    <xf borderId="18" fillId="4" fontId="18" numFmtId="0" xfId="0" applyAlignment="1" applyBorder="1" applyFont="1">
      <alignment horizontal="center" vertical="bottom"/>
    </xf>
    <xf borderId="18" fillId="4" fontId="20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0.29"/>
    <col customWidth="1" min="2" max="2" width="10.57"/>
    <col customWidth="1" min="3" max="3" width="12.43"/>
    <col customWidth="1" min="4" max="4" width="10.29"/>
    <col customWidth="1" min="5" max="5" width="7.43"/>
    <col customWidth="1" min="6" max="6" width="10.71"/>
    <col customWidth="1" min="7" max="7" width="6.86"/>
    <col customWidth="1" min="8" max="8" width="10.57"/>
    <col customWidth="1" min="9" max="9" width="7.71"/>
    <col customWidth="1" min="10" max="10" width="9.71"/>
    <col customWidth="1" min="11" max="11" width="8.86"/>
    <col customWidth="1" min="12" max="12" width="9.86"/>
    <col customWidth="1" min="13" max="13" width="9.57"/>
    <col customWidth="1" min="14" max="26" width="15.14"/>
  </cols>
  <sheetData>
    <row r="1" ht="13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</row>
    <row r="2" ht="15.0" customHeight="1">
      <c r="A2" s="4" t="s">
        <v>1</v>
      </c>
      <c r="B2" s="5" t="s">
        <v>2</v>
      </c>
      <c r="C2" s="5" t="s">
        <v>3</v>
      </c>
      <c r="D2" s="6" t="s">
        <v>4</v>
      </c>
      <c r="E2" s="7"/>
      <c r="F2" s="7"/>
      <c r="G2" s="7"/>
      <c r="H2" s="8"/>
      <c r="I2" s="6" t="s">
        <v>5</v>
      </c>
      <c r="J2" s="7"/>
      <c r="K2" s="7"/>
      <c r="L2" s="7"/>
      <c r="M2" s="8"/>
    </row>
    <row r="3" ht="33.0" customHeight="1">
      <c r="A3" s="9"/>
      <c r="B3" s="10"/>
      <c r="C3" s="11"/>
      <c r="D3" s="12" t="s">
        <v>6</v>
      </c>
      <c r="E3" s="12" t="s">
        <v>7</v>
      </c>
      <c r="F3" s="12" t="s">
        <v>8</v>
      </c>
      <c r="G3" s="12" t="s">
        <v>9</v>
      </c>
      <c r="H3" s="12" t="s">
        <v>10</v>
      </c>
      <c r="I3" s="12" t="s">
        <v>6</v>
      </c>
      <c r="J3" s="12" t="s">
        <v>7</v>
      </c>
      <c r="K3" s="12" t="s">
        <v>8</v>
      </c>
      <c r="L3" s="12" t="s">
        <v>9</v>
      </c>
      <c r="M3" s="12" t="s">
        <v>10</v>
      </c>
    </row>
    <row r="4" ht="13.5" customHeight="1">
      <c r="A4" s="13">
        <v>3792.0</v>
      </c>
      <c r="B4" s="13">
        <f t="shared" ref="B4:B24" si="2">SUM(D4:H4)</f>
        <v>522</v>
      </c>
      <c r="C4" s="13">
        <f t="shared" ref="C4:C24" si="3">SUM(I4:M4)</f>
        <v>542</v>
      </c>
      <c r="D4" s="13">
        <f t="shared" ref="D4:M4" si="1">SUM(D5:D24)</f>
        <v>295</v>
      </c>
      <c r="E4" s="13">
        <f t="shared" si="1"/>
        <v>161</v>
      </c>
      <c r="F4" s="13">
        <f t="shared" si="1"/>
        <v>35</v>
      </c>
      <c r="G4" s="13">
        <f t="shared" si="1"/>
        <v>27</v>
      </c>
      <c r="H4" s="13">
        <f t="shared" si="1"/>
        <v>4</v>
      </c>
      <c r="I4" s="13">
        <f t="shared" si="1"/>
        <v>309</v>
      </c>
      <c r="J4" s="13">
        <f t="shared" si="1"/>
        <v>163</v>
      </c>
      <c r="K4" s="13">
        <f t="shared" si="1"/>
        <v>36</v>
      </c>
      <c r="L4" s="13">
        <f t="shared" si="1"/>
        <v>29</v>
      </c>
      <c r="M4" s="13">
        <f t="shared" si="1"/>
        <v>5</v>
      </c>
      <c r="N4" s="14"/>
      <c r="O4" s="14"/>
      <c r="P4" s="14"/>
      <c r="Q4" s="14"/>
      <c r="R4" s="14"/>
      <c r="S4" s="14"/>
      <c r="T4" s="14"/>
      <c r="U4" s="14"/>
      <c r="V4" s="14"/>
      <c r="W4" s="14"/>
    </row>
    <row r="5" ht="13.5" customHeight="1">
      <c r="A5" s="15" t="s">
        <v>11</v>
      </c>
      <c r="B5" s="15">
        <f t="shared" si="2"/>
        <v>1</v>
      </c>
      <c r="C5" s="15">
        <f t="shared" si="3"/>
        <v>2</v>
      </c>
      <c r="D5" s="15">
        <v>0.0</v>
      </c>
      <c r="E5" s="15">
        <v>0.0</v>
      </c>
      <c r="F5" s="15">
        <v>0.0</v>
      </c>
      <c r="G5" s="15">
        <v>0.0</v>
      </c>
      <c r="H5" s="15">
        <v>1.0</v>
      </c>
      <c r="I5" s="15">
        <v>0.0</v>
      </c>
      <c r="J5" s="15">
        <v>0.0</v>
      </c>
      <c r="K5" s="15">
        <v>0.0</v>
      </c>
      <c r="L5" s="15">
        <v>0.0</v>
      </c>
      <c r="M5" s="15">
        <v>2.0</v>
      </c>
    </row>
    <row r="6" ht="13.5" customHeight="1">
      <c r="A6" s="15" t="s">
        <v>12</v>
      </c>
      <c r="B6" s="15">
        <f t="shared" si="2"/>
        <v>1</v>
      </c>
      <c r="C6" s="15">
        <f t="shared" si="3"/>
        <v>1</v>
      </c>
      <c r="D6" s="15">
        <v>0.0</v>
      </c>
      <c r="E6" s="15">
        <v>0.0</v>
      </c>
      <c r="F6" s="15">
        <v>0.0</v>
      </c>
      <c r="G6" s="15">
        <v>0.0</v>
      </c>
      <c r="H6" s="15">
        <v>1.0</v>
      </c>
      <c r="I6" s="15">
        <v>0.0</v>
      </c>
      <c r="J6" s="15">
        <v>0.0</v>
      </c>
      <c r="K6" s="15">
        <v>0.0</v>
      </c>
      <c r="L6" s="15">
        <v>0.0</v>
      </c>
      <c r="M6" s="15">
        <v>1.0</v>
      </c>
    </row>
    <row r="7" ht="13.5" customHeight="1">
      <c r="A7" s="15" t="s">
        <v>13</v>
      </c>
      <c r="B7" s="15">
        <f t="shared" si="2"/>
        <v>25</v>
      </c>
      <c r="C7" s="15">
        <f t="shared" si="3"/>
        <v>26</v>
      </c>
      <c r="D7" s="15">
        <v>13.0</v>
      </c>
      <c r="E7" s="15">
        <v>12.0</v>
      </c>
      <c r="F7" s="15">
        <v>0.0</v>
      </c>
      <c r="G7" s="15">
        <v>0.0</v>
      </c>
      <c r="H7" s="15">
        <v>0.0</v>
      </c>
      <c r="I7" s="15">
        <v>13.0</v>
      </c>
      <c r="J7" s="15">
        <v>13.0</v>
      </c>
      <c r="K7" s="15">
        <v>0.0</v>
      </c>
      <c r="L7" s="15">
        <v>0.0</v>
      </c>
      <c r="M7" s="15">
        <v>0.0</v>
      </c>
    </row>
    <row r="8" ht="13.5" customHeight="1">
      <c r="A8" s="15" t="s">
        <v>14</v>
      </c>
      <c r="B8" s="15">
        <f t="shared" si="2"/>
        <v>45</v>
      </c>
      <c r="C8" s="15">
        <f t="shared" si="3"/>
        <v>51</v>
      </c>
      <c r="D8" s="15">
        <v>22.0</v>
      </c>
      <c r="E8" s="15">
        <v>19.0</v>
      </c>
      <c r="F8" s="15">
        <v>3.0</v>
      </c>
      <c r="G8" s="15">
        <v>1.0</v>
      </c>
      <c r="H8" s="15">
        <v>0.0</v>
      </c>
      <c r="I8" s="15">
        <v>26.0</v>
      </c>
      <c r="J8" s="15">
        <v>20.0</v>
      </c>
      <c r="K8" s="15">
        <v>4.0</v>
      </c>
      <c r="L8" s="15">
        <v>1.0</v>
      </c>
      <c r="M8" s="15">
        <v>0.0</v>
      </c>
    </row>
    <row r="9" ht="13.5" customHeight="1">
      <c r="A9" s="15" t="s">
        <v>15</v>
      </c>
      <c r="B9" s="15">
        <f t="shared" si="2"/>
        <v>13</v>
      </c>
      <c r="C9" s="15">
        <f t="shared" si="3"/>
        <v>13</v>
      </c>
      <c r="D9" s="15">
        <v>8.0</v>
      </c>
      <c r="E9" s="15">
        <v>4.0</v>
      </c>
      <c r="F9" s="15">
        <v>1.0</v>
      </c>
      <c r="G9" s="15">
        <v>0.0</v>
      </c>
      <c r="H9" s="15">
        <v>0.0</v>
      </c>
      <c r="I9" s="15">
        <v>8.0</v>
      </c>
      <c r="J9" s="15">
        <v>4.0</v>
      </c>
      <c r="K9" s="15">
        <v>1.0</v>
      </c>
      <c r="L9" s="15">
        <v>0.0</v>
      </c>
      <c r="M9" s="15">
        <v>0.0</v>
      </c>
    </row>
    <row r="10" ht="13.5" customHeight="1">
      <c r="A10" s="15" t="s">
        <v>16</v>
      </c>
      <c r="B10" s="15">
        <f t="shared" si="2"/>
        <v>9</v>
      </c>
      <c r="C10" s="15">
        <f t="shared" si="3"/>
        <v>9</v>
      </c>
      <c r="D10" s="15">
        <v>4.0</v>
      </c>
      <c r="E10" s="15">
        <v>3.0</v>
      </c>
      <c r="F10" s="15">
        <v>2.0</v>
      </c>
      <c r="G10" s="15">
        <v>0.0</v>
      </c>
      <c r="H10" s="15">
        <v>0.0</v>
      </c>
      <c r="I10" s="15">
        <v>4.0</v>
      </c>
      <c r="J10" s="15">
        <v>3.0</v>
      </c>
      <c r="K10" s="15">
        <v>2.0</v>
      </c>
      <c r="L10" s="15">
        <v>0.0</v>
      </c>
      <c r="M10" s="15">
        <v>0.0</v>
      </c>
    </row>
    <row r="11" ht="13.5" customHeight="1">
      <c r="A11" s="15" t="s">
        <v>17</v>
      </c>
      <c r="B11" s="15">
        <f t="shared" si="2"/>
        <v>9</v>
      </c>
      <c r="C11" s="15">
        <f t="shared" si="3"/>
        <v>9</v>
      </c>
      <c r="D11" s="15">
        <v>2.0</v>
      </c>
      <c r="E11" s="15">
        <v>5.0</v>
      </c>
      <c r="F11" s="15">
        <v>1.0</v>
      </c>
      <c r="G11" s="15">
        <v>1.0</v>
      </c>
      <c r="H11" s="15">
        <v>0.0</v>
      </c>
      <c r="I11" s="15">
        <v>2.0</v>
      </c>
      <c r="J11" s="15">
        <v>5.0</v>
      </c>
      <c r="K11" s="15">
        <v>1.0</v>
      </c>
      <c r="L11" s="15">
        <v>1.0</v>
      </c>
      <c r="M11" s="15">
        <v>0.0</v>
      </c>
    </row>
    <row r="12" ht="13.5" customHeight="1">
      <c r="A12" s="15" t="s">
        <v>18</v>
      </c>
      <c r="B12" s="15">
        <f t="shared" si="2"/>
        <v>1</v>
      </c>
      <c r="C12" s="15">
        <f t="shared" si="3"/>
        <v>1</v>
      </c>
      <c r="D12" s="15">
        <v>0.0</v>
      </c>
      <c r="E12" s="15">
        <v>0.0</v>
      </c>
      <c r="F12" s="15">
        <v>0.0</v>
      </c>
      <c r="G12" s="15">
        <v>0.0</v>
      </c>
      <c r="H12" s="15">
        <v>1.0</v>
      </c>
      <c r="I12" s="15">
        <v>0.0</v>
      </c>
      <c r="J12" s="15">
        <v>0.0</v>
      </c>
      <c r="K12" s="15">
        <v>0.0</v>
      </c>
      <c r="L12" s="15">
        <v>0.0</v>
      </c>
      <c r="M12" s="15">
        <v>1.0</v>
      </c>
    </row>
    <row r="13" ht="13.5" customHeight="1">
      <c r="A13" s="15" t="s">
        <v>19</v>
      </c>
      <c r="B13" s="15">
        <f t="shared" si="2"/>
        <v>1</v>
      </c>
      <c r="C13" s="15">
        <f t="shared" si="3"/>
        <v>1</v>
      </c>
      <c r="D13" s="15">
        <v>0.0</v>
      </c>
      <c r="E13" s="15">
        <v>0.0</v>
      </c>
      <c r="F13" s="15">
        <v>0.0</v>
      </c>
      <c r="G13" s="15">
        <v>0.0</v>
      </c>
      <c r="H13" s="15">
        <v>1.0</v>
      </c>
      <c r="I13" s="15">
        <v>0.0</v>
      </c>
      <c r="J13" s="15">
        <v>0.0</v>
      </c>
      <c r="K13" s="15">
        <v>0.0</v>
      </c>
      <c r="L13" s="15">
        <v>0.0</v>
      </c>
      <c r="M13" s="15">
        <v>1.0</v>
      </c>
    </row>
    <row r="14" ht="13.5" customHeight="1">
      <c r="A14" s="15" t="s">
        <v>20</v>
      </c>
      <c r="B14" s="15">
        <f t="shared" si="2"/>
        <v>41</v>
      </c>
      <c r="C14" s="15">
        <f t="shared" si="3"/>
        <v>43</v>
      </c>
      <c r="D14" s="15">
        <v>25.0</v>
      </c>
      <c r="E14" s="15">
        <v>12.0</v>
      </c>
      <c r="F14" s="15">
        <v>2.0</v>
      </c>
      <c r="G14" s="15">
        <v>2.0</v>
      </c>
      <c r="H14" s="15">
        <v>0.0</v>
      </c>
      <c r="I14" s="15">
        <v>27.0</v>
      </c>
      <c r="J14" s="15">
        <v>12.0</v>
      </c>
      <c r="K14" s="15">
        <v>2.0</v>
      </c>
      <c r="L14" s="15">
        <v>2.0</v>
      </c>
      <c r="M14" s="15">
        <v>0.0</v>
      </c>
    </row>
    <row r="15" ht="13.5" customHeight="1">
      <c r="A15" s="15" t="s">
        <v>21</v>
      </c>
      <c r="B15" s="15">
        <f t="shared" si="2"/>
        <v>29</v>
      </c>
      <c r="C15" s="15">
        <f t="shared" si="3"/>
        <v>29</v>
      </c>
      <c r="D15" s="15">
        <v>20.0</v>
      </c>
      <c r="E15" s="15">
        <v>8.0</v>
      </c>
      <c r="F15" s="15">
        <v>1.0</v>
      </c>
      <c r="G15" s="15">
        <v>0.0</v>
      </c>
      <c r="H15" s="15">
        <v>0.0</v>
      </c>
      <c r="I15" s="15">
        <v>20.0</v>
      </c>
      <c r="J15" s="15">
        <v>8.0</v>
      </c>
      <c r="K15" s="15">
        <v>1.0</v>
      </c>
      <c r="L15" s="15">
        <v>0.0</v>
      </c>
      <c r="M15" s="15">
        <v>0.0</v>
      </c>
    </row>
    <row r="16" ht="13.5" customHeight="1">
      <c r="A16" s="15" t="s">
        <v>22</v>
      </c>
      <c r="B16" s="15">
        <f t="shared" si="2"/>
        <v>95</v>
      </c>
      <c r="C16" s="15">
        <f t="shared" si="3"/>
        <v>96</v>
      </c>
      <c r="D16" s="15">
        <v>56.0</v>
      </c>
      <c r="E16" s="15">
        <v>24.0</v>
      </c>
      <c r="F16" s="15">
        <v>11.0</v>
      </c>
      <c r="G16" s="15">
        <v>4.0</v>
      </c>
      <c r="H16" s="15">
        <v>0.0</v>
      </c>
      <c r="I16" s="15">
        <v>57.0</v>
      </c>
      <c r="J16" s="15">
        <v>24.0</v>
      </c>
      <c r="K16" s="15">
        <v>11.0</v>
      </c>
      <c r="L16" s="15">
        <v>4.0</v>
      </c>
      <c r="M16" s="15">
        <v>0.0</v>
      </c>
    </row>
    <row r="17" ht="13.5" customHeight="1">
      <c r="A17" s="15" t="s">
        <v>23</v>
      </c>
      <c r="B17" s="15">
        <f t="shared" si="2"/>
        <v>18</v>
      </c>
      <c r="C17" s="15">
        <f t="shared" si="3"/>
        <v>18</v>
      </c>
      <c r="D17" s="15">
        <v>8.0</v>
      </c>
      <c r="E17" s="15">
        <v>7.0</v>
      </c>
      <c r="F17" s="15">
        <v>3.0</v>
      </c>
      <c r="G17" s="15">
        <v>0.0</v>
      </c>
      <c r="H17" s="15">
        <v>0.0</v>
      </c>
      <c r="I17" s="15">
        <v>8.0</v>
      </c>
      <c r="J17" s="15">
        <v>7.0</v>
      </c>
      <c r="K17" s="15">
        <v>3.0</v>
      </c>
      <c r="L17" s="15">
        <v>0.0</v>
      </c>
      <c r="M17" s="15">
        <v>0.0</v>
      </c>
    </row>
    <row r="18" ht="13.5" customHeight="1">
      <c r="A18" s="15" t="s">
        <v>24</v>
      </c>
      <c r="B18" s="15">
        <f t="shared" si="2"/>
        <v>56</v>
      </c>
      <c r="C18" s="15">
        <f t="shared" si="3"/>
        <v>62</v>
      </c>
      <c r="D18" s="15">
        <v>35.0</v>
      </c>
      <c r="E18" s="15">
        <v>16.0</v>
      </c>
      <c r="F18" s="15">
        <v>2.0</v>
      </c>
      <c r="G18" s="15">
        <v>3.0</v>
      </c>
      <c r="H18" s="15">
        <v>0.0</v>
      </c>
      <c r="I18" s="15">
        <v>41.0</v>
      </c>
      <c r="J18" s="15">
        <v>16.0</v>
      </c>
      <c r="K18" s="15">
        <v>2.0</v>
      </c>
      <c r="L18" s="15">
        <v>3.0</v>
      </c>
      <c r="M18" s="15">
        <v>0.0</v>
      </c>
    </row>
    <row r="19" ht="13.5" customHeight="1">
      <c r="A19" s="15" t="s">
        <v>25</v>
      </c>
      <c r="B19" s="15">
        <f t="shared" si="2"/>
        <v>29</v>
      </c>
      <c r="C19" s="15">
        <f t="shared" si="3"/>
        <v>30</v>
      </c>
      <c r="D19" s="15">
        <v>21.0</v>
      </c>
      <c r="E19" s="15">
        <v>6.0</v>
      </c>
      <c r="F19" s="15">
        <v>1.0</v>
      </c>
      <c r="G19" s="15">
        <v>1.0</v>
      </c>
      <c r="H19" s="15">
        <v>0.0</v>
      </c>
      <c r="I19" s="15">
        <v>22.0</v>
      </c>
      <c r="J19" s="15">
        <v>6.0</v>
      </c>
      <c r="K19" s="15">
        <v>1.0</v>
      </c>
      <c r="L19" s="15">
        <v>1.0</v>
      </c>
      <c r="M19" s="15">
        <v>0.0</v>
      </c>
    </row>
    <row r="20" ht="13.5" customHeight="1">
      <c r="A20" s="15" t="s">
        <v>26</v>
      </c>
      <c r="B20" s="15">
        <f t="shared" si="2"/>
        <v>26</v>
      </c>
      <c r="C20" s="15">
        <f t="shared" si="3"/>
        <v>26</v>
      </c>
      <c r="D20" s="15">
        <v>12.0</v>
      </c>
      <c r="E20" s="15">
        <v>10.0</v>
      </c>
      <c r="F20" s="15">
        <v>3.0</v>
      </c>
      <c r="G20" s="15">
        <v>1.0</v>
      </c>
      <c r="H20" s="15">
        <v>0.0</v>
      </c>
      <c r="I20" s="15">
        <v>12.0</v>
      </c>
      <c r="J20" s="15">
        <v>10.0</v>
      </c>
      <c r="K20" s="15">
        <v>3.0</v>
      </c>
      <c r="L20" s="15">
        <v>1.0</v>
      </c>
      <c r="M20" s="15">
        <v>0.0</v>
      </c>
    </row>
    <row r="21" ht="13.5" customHeight="1">
      <c r="A21" s="15" t="s">
        <v>27</v>
      </c>
      <c r="B21" s="15">
        <f t="shared" si="2"/>
        <v>62</v>
      </c>
      <c r="C21" s="15">
        <f t="shared" si="3"/>
        <v>62</v>
      </c>
      <c r="D21" s="15">
        <v>38.0</v>
      </c>
      <c r="E21" s="15">
        <v>15.0</v>
      </c>
      <c r="F21" s="15">
        <v>1.0</v>
      </c>
      <c r="G21" s="15">
        <v>8.0</v>
      </c>
      <c r="H21" s="15">
        <v>0.0</v>
      </c>
      <c r="I21" s="15">
        <v>38.0</v>
      </c>
      <c r="J21" s="15">
        <v>15.0</v>
      </c>
      <c r="K21" s="15">
        <v>1.0</v>
      </c>
      <c r="L21" s="15">
        <v>8.0</v>
      </c>
      <c r="M21" s="15">
        <v>0.0</v>
      </c>
    </row>
    <row r="22" ht="13.5" customHeight="1">
      <c r="A22" s="15" t="s">
        <v>28</v>
      </c>
      <c r="B22" s="15">
        <f t="shared" si="2"/>
        <v>15</v>
      </c>
      <c r="C22" s="15">
        <f t="shared" si="3"/>
        <v>16</v>
      </c>
      <c r="D22" s="15">
        <v>6.0</v>
      </c>
      <c r="E22" s="15">
        <v>7.0</v>
      </c>
      <c r="F22" s="15">
        <v>0.0</v>
      </c>
      <c r="G22" s="15">
        <v>2.0</v>
      </c>
      <c r="H22" s="15">
        <v>0.0</v>
      </c>
      <c r="I22" s="15">
        <v>6.0</v>
      </c>
      <c r="J22" s="15">
        <v>7.0</v>
      </c>
      <c r="K22" s="15">
        <v>0.0</v>
      </c>
      <c r="L22" s="15">
        <v>3.0</v>
      </c>
      <c r="M22" s="15">
        <v>0.0</v>
      </c>
    </row>
    <row r="23" ht="13.5" customHeight="1">
      <c r="A23" s="15" t="s">
        <v>29</v>
      </c>
      <c r="B23" s="15">
        <f t="shared" si="2"/>
        <v>44</v>
      </c>
      <c r="C23" s="15">
        <f t="shared" si="3"/>
        <v>45</v>
      </c>
      <c r="D23" s="15">
        <v>23.0</v>
      </c>
      <c r="E23" s="15">
        <v>13.0</v>
      </c>
      <c r="F23" s="15">
        <v>4.0</v>
      </c>
      <c r="G23" s="15">
        <v>4.0</v>
      </c>
      <c r="H23" s="15">
        <v>0.0</v>
      </c>
      <c r="I23" s="15">
        <v>23.0</v>
      </c>
      <c r="J23" s="15">
        <v>13.0</v>
      </c>
      <c r="K23" s="15">
        <v>4.0</v>
      </c>
      <c r="L23" s="15">
        <v>5.0</v>
      </c>
      <c r="M23" s="15">
        <v>0.0</v>
      </c>
    </row>
    <row r="24" ht="13.5" customHeight="1">
      <c r="A24" s="15" t="s">
        <v>30</v>
      </c>
      <c r="B24" s="15">
        <f t="shared" si="2"/>
        <v>2</v>
      </c>
      <c r="C24" s="15">
        <f t="shared" si="3"/>
        <v>2</v>
      </c>
      <c r="D24" s="15">
        <v>2.0</v>
      </c>
      <c r="E24" s="15">
        <v>0.0</v>
      </c>
      <c r="F24" s="15">
        <v>0.0</v>
      </c>
      <c r="G24" s="15">
        <v>0.0</v>
      </c>
      <c r="H24" s="15">
        <v>0.0</v>
      </c>
      <c r="I24" s="15">
        <v>2.0</v>
      </c>
      <c r="J24" s="15">
        <v>0.0</v>
      </c>
      <c r="K24" s="15">
        <v>0.0</v>
      </c>
      <c r="L24" s="15">
        <v>0.0</v>
      </c>
      <c r="M24" s="15">
        <v>0.0</v>
      </c>
    </row>
    <row r="25" ht="13.5" customHeight="1">
      <c r="A25" s="16">
        <v>3794.0</v>
      </c>
      <c r="B25" s="17">
        <f t="shared" ref="B25:M25" si="4">SUM(B26:B28)</f>
        <v>83</v>
      </c>
      <c r="C25" s="17">
        <f t="shared" si="4"/>
        <v>84</v>
      </c>
      <c r="D25" s="17">
        <f t="shared" si="4"/>
        <v>45</v>
      </c>
      <c r="E25" s="17">
        <f t="shared" si="4"/>
        <v>24</v>
      </c>
      <c r="F25" s="17">
        <f t="shared" si="4"/>
        <v>3</v>
      </c>
      <c r="G25" s="17">
        <f t="shared" si="4"/>
        <v>11</v>
      </c>
      <c r="H25" s="17">
        <f t="shared" si="4"/>
        <v>0</v>
      </c>
      <c r="I25" s="17">
        <f t="shared" si="4"/>
        <v>45</v>
      </c>
      <c r="J25" s="17">
        <f t="shared" si="4"/>
        <v>24</v>
      </c>
      <c r="K25" s="17">
        <f t="shared" si="4"/>
        <v>3</v>
      </c>
      <c r="L25" s="17">
        <f t="shared" si="4"/>
        <v>12</v>
      </c>
      <c r="M25" s="17">
        <f t="shared" si="4"/>
        <v>0</v>
      </c>
    </row>
    <row r="26" ht="13.5" customHeight="1">
      <c r="A26" s="15" t="s">
        <v>31</v>
      </c>
      <c r="B26" s="18">
        <f t="shared" ref="B26:B35" si="5">SUM(D26:H26)</f>
        <v>22</v>
      </c>
      <c r="C26" s="18">
        <f t="shared" ref="C26:C35" si="6">SUM(I26:M26)</f>
        <v>23</v>
      </c>
      <c r="D26" s="15">
        <v>13.0</v>
      </c>
      <c r="E26" s="15">
        <v>6.0</v>
      </c>
      <c r="F26" s="15">
        <v>0.0</v>
      </c>
      <c r="G26" s="15">
        <v>3.0</v>
      </c>
      <c r="H26" s="18">
        <v>0.0</v>
      </c>
      <c r="I26" s="15">
        <v>13.0</v>
      </c>
      <c r="J26" s="15">
        <v>6.0</v>
      </c>
      <c r="K26" s="15">
        <v>0.0</v>
      </c>
      <c r="L26" s="15">
        <v>4.0</v>
      </c>
      <c r="M26" s="18">
        <v>0.0</v>
      </c>
    </row>
    <row r="27" ht="13.5" customHeight="1">
      <c r="A27" s="15" t="s">
        <v>32</v>
      </c>
      <c r="B27" s="18">
        <f t="shared" si="5"/>
        <v>17</v>
      </c>
      <c r="C27" s="18">
        <f t="shared" si="6"/>
        <v>17</v>
      </c>
      <c r="D27" s="15">
        <v>11.0</v>
      </c>
      <c r="E27" s="15">
        <v>6.0</v>
      </c>
      <c r="F27" s="15">
        <v>0.0</v>
      </c>
      <c r="G27" s="15">
        <v>0.0</v>
      </c>
      <c r="H27" s="18">
        <v>0.0</v>
      </c>
      <c r="I27" s="15">
        <v>11.0</v>
      </c>
      <c r="J27" s="15">
        <v>6.0</v>
      </c>
      <c r="K27" s="15">
        <v>0.0</v>
      </c>
      <c r="L27" s="15">
        <v>0.0</v>
      </c>
      <c r="M27" s="18">
        <v>0.0</v>
      </c>
      <c r="N27" s="14"/>
      <c r="O27" s="14"/>
    </row>
    <row r="28" ht="13.5" customHeight="1">
      <c r="A28" s="15" t="s">
        <v>33</v>
      </c>
      <c r="B28" s="18">
        <f t="shared" si="5"/>
        <v>44</v>
      </c>
      <c r="C28" s="18">
        <f t="shared" si="6"/>
        <v>44</v>
      </c>
      <c r="D28" s="15">
        <v>21.0</v>
      </c>
      <c r="E28" s="15">
        <v>12.0</v>
      </c>
      <c r="F28" s="15">
        <v>3.0</v>
      </c>
      <c r="G28" s="15">
        <v>8.0</v>
      </c>
      <c r="H28" s="18">
        <v>0.0</v>
      </c>
      <c r="I28" s="15">
        <v>21.0</v>
      </c>
      <c r="J28" s="15">
        <v>12.0</v>
      </c>
      <c r="K28" s="15">
        <v>3.0</v>
      </c>
      <c r="L28" s="15">
        <v>8.0</v>
      </c>
      <c r="M28" s="18">
        <v>0.0</v>
      </c>
    </row>
    <row r="29" ht="13.5" customHeight="1">
      <c r="A29" s="16">
        <v>3795.0</v>
      </c>
      <c r="B29" s="17">
        <f t="shared" si="5"/>
        <v>67</v>
      </c>
      <c r="C29" s="17">
        <f t="shared" si="6"/>
        <v>67</v>
      </c>
      <c r="D29" s="17">
        <f t="shared" ref="D29:M29" si="7">SUM(D30:D31)</f>
        <v>28</v>
      </c>
      <c r="E29" s="17">
        <f t="shared" si="7"/>
        <v>12</v>
      </c>
      <c r="F29" s="17">
        <f t="shared" si="7"/>
        <v>9</v>
      </c>
      <c r="G29" s="17">
        <f t="shared" si="7"/>
        <v>18</v>
      </c>
      <c r="H29" s="17">
        <f t="shared" si="7"/>
        <v>0</v>
      </c>
      <c r="I29" s="17">
        <f t="shared" si="7"/>
        <v>28</v>
      </c>
      <c r="J29" s="17">
        <f t="shared" si="7"/>
        <v>12</v>
      </c>
      <c r="K29" s="17">
        <f t="shared" si="7"/>
        <v>9</v>
      </c>
      <c r="L29" s="17">
        <f t="shared" si="7"/>
        <v>18</v>
      </c>
      <c r="M29" s="17">
        <f t="shared" si="7"/>
        <v>0</v>
      </c>
      <c r="N29" s="14"/>
      <c r="O29" s="14"/>
      <c r="P29" s="14"/>
      <c r="Q29" s="14"/>
      <c r="R29" s="14"/>
      <c r="S29" s="14"/>
      <c r="T29" s="14"/>
      <c r="U29" s="14"/>
      <c r="V29" s="14"/>
      <c r="W29" s="14"/>
    </row>
    <row r="30" ht="13.5" customHeight="1">
      <c r="A30" s="15" t="s">
        <v>34</v>
      </c>
      <c r="B30" s="18">
        <f t="shared" si="5"/>
        <v>17</v>
      </c>
      <c r="C30" s="18">
        <f t="shared" si="6"/>
        <v>17</v>
      </c>
      <c r="D30" s="15">
        <v>8.0</v>
      </c>
      <c r="E30" s="15">
        <v>5.0</v>
      </c>
      <c r="F30" s="15">
        <v>2.0</v>
      </c>
      <c r="G30" s="15">
        <v>2.0</v>
      </c>
      <c r="H30" s="18">
        <v>0.0</v>
      </c>
      <c r="I30" s="15">
        <v>8.0</v>
      </c>
      <c r="J30" s="15">
        <v>5.0</v>
      </c>
      <c r="K30" s="15">
        <v>2.0</v>
      </c>
      <c r="L30" s="15">
        <v>2.0</v>
      </c>
      <c r="M30" s="18">
        <v>0.0</v>
      </c>
    </row>
    <row r="31" ht="13.5" customHeight="1">
      <c r="A31" s="15" t="s">
        <v>35</v>
      </c>
      <c r="B31" s="18">
        <f t="shared" si="5"/>
        <v>50</v>
      </c>
      <c r="C31" s="18">
        <f t="shared" si="6"/>
        <v>50</v>
      </c>
      <c r="D31" s="15">
        <v>20.0</v>
      </c>
      <c r="E31" s="15">
        <v>7.0</v>
      </c>
      <c r="F31" s="15">
        <v>7.0</v>
      </c>
      <c r="G31" s="15">
        <v>16.0</v>
      </c>
      <c r="H31" s="18">
        <v>0.0</v>
      </c>
      <c r="I31" s="15">
        <v>20.0</v>
      </c>
      <c r="J31" s="15">
        <v>7.0</v>
      </c>
      <c r="K31" s="15">
        <v>7.0</v>
      </c>
      <c r="L31" s="15">
        <v>16.0</v>
      </c>
      <c r="M31" s="18">
        <v>0.0</v>
      </c>
      <c r="P31" s="14"/>
      <c r="Q31" s="14"/>
      <c r="R31" s="14"/>
      <c r="S31" s="14"/>
      <c r="T31" s="14"/>
      <c r="U31" s="14"/>
      <c r="V31" s="14"/>
      <c r="W31" s="14"/>
    </row>
    <row r="32" ht="13.5" customHeight="1">
      <c r="A32" s="16">
        <v>3791.0</v>
      </c>
      <c r="B32" s="17">
        <f t="shared" si="5"/>
        <v>56</v>
      </c>
      <c r="C32" s="17">
        <f t="shared" si="6"/>
        <v>60</v>
      </c>
      <c r="D32" s="17">
        <f t="shared" ref="D32:M32" si="8">SUM(D33:D35)</f>
        <v>33</v>
      </c>
      <c r="E32" s="17">
        <f t="shared" si="8"/>
        <v>14</v>
      </c>
      <c r="F32" s="17">
        <f t="shared" si="8"/>
        <v>5</v>
      </c>
      <c r="G32" s="17">
        <f t="shared" si="8"/>
        <v>4</v>
      </c>
      <c r="H32" s="17">
        <f t="shared" si="8"/>
        <v>0</v>
      </c>
      <c r="I32" s="17">
        <f t="shared" si="8"/>
        <v>37</v>
      </c>
      <c r="J32" s="17">
        <f t="shared" si="8"/>
        <v>14</v>
      </c>
      <c r="K32" s="17">
        <f t="shared" si="8"/>
        <v>5</v>
      </c>
      <c r="L32" s="17">
        <f t="shared" si="8"/>
        <v>4</v>
      </c>
      <c r="M32" s="17">
        <f t="shared" si="8"/>
        <v>0</v>
      </c>
    </row>
    <row r="33" ht="13.5" customHeight="1">
      <c r="A33" s="15" t="s">
        <v>36</v>
      </c>
      <c r="B33" s="15">
        <f t="shared" si="5"/>
        <v>38</v>
      </c>
      <c r="C33" s="18">
        <f t="shared" si="6"/>
        <v>41</v>
      </c>
      <c r="D33" s="15">
        <v>23.0</v>
      </c>
      <c r="E33" s="15">
        <v>9.0</v>
      </c>
      <c r="F33" s="15">
        <v>5.0</v>
      </c>
      <c r="G33" s="15">
        <v>1.0</v>
      </c>
      <c r="H33" s="18">
        <v>0.0</v>
      </c>
      <c r="I33" s="15">
        <v>26.0</v>
      </c>
      <c r="J33" s="15">
        <v>9.0</v>
      </c>
      <c r="K33" s="15">
        <v>5.0</v>
      </c>
      <c r="L33" s="15">
        <v>1.0</v>
      </c>
      <c r="M33" s="18">
        <v>0.0</v>
      </c>
      <c r="N33" s="14"/>
      <c r="O33" s="14"/>
    </row>
    <row r="34" ht="13.5" customHeight="1">
      <c r="A34" s="15" t="s">
        <v>37</v>
      </c>
      <c r="B34" s="15">
        <f t="shared" si="5"/>
        <v>15</v>
      </c>
      <c r="C34" s="18">
        <f t="shared" si="6"/>
        <v>16</v>
      </c>
      <c r="D34" s="15">
        <v>8.0</v>
      </c>
      <c r="E34" s="15">
        <v>4.0</v>
      </c>
      <c r="F34" s="15">
        <v>0.0</v>
      </c>
      <c r="G34" s="15">
        <v>3.0</v>
      </c>
      <c r="H34" s="18">
        <v>0.0</v>
      </c>
      <c r="I34" s="15">
        <v>9.0</v>
      </c>
      <c r="J34" s="15">
        <v>4.0</v>
      </c>
      <c r="K34" s="15">
        <v>0.0</v>
      </c>
      <c r="L34" s="15">
        <v>3.0</v>
      </c>
      <c r="M34" s="18">
        <v>0.0</v>
      </c>
    </row>
    <row r="35" ht="13.5" customHeight="1">
      <c r="A35" s="15" t="s">
        <v>38</v>
      </c>
      <c r="B35" s="15">
        <f t="shared" si="5"/>
        <v>3</v>
      </c>
      <c r="C35" s="18">
        <f t="shared" si="6"/>
        <v>3</v>
      </c>
      <c r="D35" s="15">
        <v>2.0</v>
      </c>
      <c r="E35" s="15">
        <v>1.0</v>
      </c>
      <c r="F35" s="15">
        <v>0.0</v>
      </c>
      <c r="G35" s="15">
        <v>0.0</v>
      </c>
      <c r="H35" s="18">
        <v>0.0</v>
      </c>
      <c r="I35" s="15">
        <v>2.0</v>
      </c>
      <c r="J35" s="15">
        <v>1.0</v>
      </c>
      <c r="K35" s="15">
        <v>0.0</v>
      </c>
      <c r="L35" s="15">
        <v>0.0</v>
      </c>
      <c r="M35" s="18">
        <v>0.0</v>
      </c>
    </row>
    <row r="36" ht="13.5" customHeight="1">
      <c r="A36" s="19" t="s">
        <v>39</v>
      </c>
      <c r="B36" s="20">
        <f t="shared" ref="B36:M36" si="9">B4+B25+B29+B32</f>
        <v>728</v>
      </c>
      <c r="C36" s="20">
        <f t="shared" si="9"/>
        <v>753</v>
      </c>
      <c r="D36" s="20">
        <f t="shared" si="9"/>
        <v>401</v>
      </c>
      <c r="E36" s="20">
        <f t="shared" si="9"/>
        <v>211</v>
      </c>
      <c r="F36" s="20">
        <f t="shared" si="9"/>
        <v>52</v>
      </c>
      <c r="G36" s="20">
        <f t="shared" si="9"/>
        <v>60</v>
      </c>
      <c r="H36" s="20">
        <f t="shared" si="9"/>
        <v>4</v>
      </c>
      <c r="I36" s="20">
        <f t="shared" si="9"/>
        <v>419</v>
      </c>
      <c r="J36" s="20">
        <f t="shared" si="9"/>
        <v>213</v>
      </c>
      <c r="K36" s="20">
        <f t="shared" si="9"/>
        <v>53</v>
      </c>
      <c r="L36" s="20">
        <f t="shared" si="9"/>
        <v>63</v>
      </c>
      <c r="M36" s="20">
        <f t="shared" si="9"/>
        <v>5</v>
      </c>
    </row>
    <row r="37" ht="13.5" customHeight="1">
      <c r="P37" s="14"/>
      <c r="Q37" s="14"/>
      <c r="R37" s="14"/>
      <c r="S37" s="14"/>
      <c r="T37" s="14"/>
      <c r="U37" s="14"/>
      <c r="V37" s="14"/>
      <c r="W37" s="14"/>
    </row>
    <row r="38" ht="13.5" customHeight="1">
      <c r="A38" s="21" t="s">
        <v>40</v>
      </c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3"/>
    </row>
    <row r="39" ht="13.5" customHeight="1">
      <c r="A39" s="24" t="s">
        <v>41</v>
      </c>
      <c r="B39" s="25" t="s">
        <v>6</v>
      </c>
      <c r="C39" s="25"/>
      <c r="D39" s="25" t="s">
        <v>7</v>
      </c>
      <c r="E39" s="25"/>
      <c r="F39" s="25" t="s">
        <v>8</v>
      </c>
      <c r="G39" s="25"/>
      <c r="H39" s="25" t="s">
        <v>9</v>
      </c>
      <c r="I39" s="25"/>
      <c r="J39" s="25" t="s">
        <v>42</v>
      </c>
      <c r="K39" s="25"/>
      <c r="L39" s="25" t="s">
        <v>43</v>
      </c>
      <c r="M39" s="25" t="s">
        <v>44</v>
      </c>
    </row>
    <row r="40" ht="13.5" customHeight="1">
      <c r="A40" s="11"/>
      <c r="B40" s="25" t="s">
        <v>45</v>
      </c>
      <c r="C40" s="25" t="s">
        <v>46</v>
      </c>
      <c r="D40" s="25" t="s">
        <v>45</v>
      </c>
      <c r="E40" s="25" t="s">
        <v>46</v>
      </c>
      <c r="F40" s="25" t="s">
        <v>45</v>
      </c>
      <c r="G40" s="25" t="s">
        <v>46</v>
      </c>
      <c r="H40" s="25" t="s">
        <v>45</v>
      </c>
      <c r="I40" s="25" t="s">
        <v>46</v>
      </c>
      <c r="J40" s="25" t="s">
        <v>45</v>
      </c>
      <c r="K40" s="25" t="s">
        <v>46</v>
      </c>
      <c r="L40" s="25"/>
      <c r="M40" s="25"/>
    </row>
    <row r="41" ht="13.5" customHeight="1">
      <c r="A41" s="26" t="s">
        <v>47</v>
      </c>
      <c r="B41" s="26">
        <v>364.0</v>
      </c>
      <c r="C41" s="26">
        <v>415.0</v>
      </c>
      <c r="D41" s="26">
        <v>200.0</v>
      </c>
      <c r="E41" s="26">
        <v>212.0</v>
      </c>
      <c r="F41" s="26">
        <v>49.0</v>
      </c>
      <c r="G41" s="26">
        <v>53.0</v>
      </c>
      <c r="H41" s="26">
        <v>55.0</v>
      </c>
      <c r="I41" s="26">
        <v>63.0</v>
      </c>
      <c r="J41" s="26">
        <v>2.0</v>
      </c>
      <c r="K41" s="26">
        <v>5.0</v>
      </c>
      <c r="L41" s="27">
        <f t="shared" ref="L41:M41" si="10">B41+D41+F41+H41+J41</f>
        <v>670</v>
      </c>
      <c r="M41" s="27">
        <f t="shared" si="10"/>
        <v>748</v>
      </c>
    </row>
    <row r="42" ht="15.0" customHeight="1">
      <c r="A42" s="26" t="s">
        <v>48</v>
      </c>
      <c r="B42" s="26">
        <v>4.0</v>
      </c>
      <c r="C42" s="26">
        <v>4.0</v>
      </c>
      <c r="D42" s="26">
        <v>1.0</v>
      </c>
      <c r="E42" s="26">
        <v>1.0</v>
      </c>
      <c r="F42" s="26">
        <v>0.0</v>
      </c>
      <c r="G42" s="26">
        <v>0.0</v>
      </c>
      <c r="H42" s="26">
        <v>0.0</v>
      </c>
      <c r="I42" s="26">
        <v>0.0</v>
      </c>
      <c r="J42" s="26">
        <v>0.0</v>
      </c>
      <c r="K42" s="26">
        <v>0.0</v>
      </c>
      <c r="L42" s="27">
        <f t="shared" ref="L42:M42" si="11">B42+D42+F42+H42+J42</f>
        <v>5</v>
      </c>
      <c r="M42" s="27">
        <f t="shared" si="11"/>
        <v>5</v>
      </c>
    </row>
    <row r="43" ht="13.5" customHeight="1">
      <c r="A43" s="28" t="s">
        <v>49</v>
      </c>
      <c r="B43" s="28">
        <f t="shared" ref="B43:K43" si="12">SUM(B41)</f>
        <v>364</v>
      </c>
      <c r="C43" s="28">
        <f t="shared" si="12"/>
        <v>415</v>
      </c>
      <c r="D43" s="28">
        <f t="shared" si="12"/>
        <v>200</v>
      </c>
      <c r="E43" s="28">
        <f t="shared" si="12"/>
        <v>212</v>
      </c>
      <c r="F43" s="28">
        <f t="shared" si="12"/>
        <v>49</v>
      </c>
      <c r="G43" s="28">
        <f t="shared" si="12"/>
        <v>53</v>
      </c>
      <c r="H43" s="28">
        <f t="shared" si="12"/>
        <v>55</v>
      </c>
      <c r="I43" s="28">
        <f t="shared" si="12"/>
        <v>63</v>
      </c>
      <c r="J43" s="28">
        <f t="shared" si="12"/>
        <v>2</v>
      </c>
      <c r="K43" s="28">
        <f t="shared" si="12"/>
        <v>5</v>
      </c>
      <c r="L43" s="28">
        <f t="shared" ref="L43:M43" si="13">SUM(L41:L42)</f>
        <v>675</v>
      </c>
      <c r="M43" s="28">
        <f t="shared" si="13"/>
        <v>753</v>
      </c>
    </row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8">
    <mergeCell ref="A1:M1"/>
    <mergeCell ref="A2:A3"/>
    <mergeCell ref="B2:B3"/>
    <mergeCell ref="C2:C3"/>
    <mergeCell ref="D2:H2"/>
    <mergeCell ref="I2:M2"/>
    <mergeCell ref="A38:M38"/>
    <mergeCell ref="A39:A40"/>
  </mergeCells>
  <printOptions/>
  <pageMargins bottom="1.05277777777778" footer="0.0" header="0.0" left="0.7875" right="0.7875" top="1.05277777777778"/>
  <pageSetup orientation="portrait"/>
  <headerFooter>
    <oddHeader>&amp;Cffffff&amp;A</oddHeader>
    <oddFooter>&amp;CffffffPágina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60.29"/>
    <col customWidth="1" min="2" max="2" width="10.57"/>
    <col customWidth="1" min="3" max="3" width="12.43"/>
    <col customWidth="1" min="4" max="4" width="10.29"/>
    <col customWidth="1" min="5" max="5" width="7.43"/>
    <col customWidth="1" min="6" max="6" width="10.71"/>
    <col customWidth="1" min="7" max="7" width="6.86"/>
    <col customWidth="1" min="8" max="8" width="10.57"/>
    <col customWidth="1" min="9" max="10" width="7.71"/>
    <col customWidth="1" min="11" max="11" width="9.71"/>
    <col customWidth="1" min="12" max="12" width="8.86"/>
    <col customWidth="1" min="13" max="13" width="9.86"/>
    <col customWidth="1" min="14" max="15" width="9.57"/>
    <col customWidth="1" min="16" max="26" width="15.29"/>
  </cols>
  <sheetData>
    <row r="1" ht="13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5.0" customHeight="1">
      <c r="A2" s="4" t="s">
        <v>1</v>
      </c>
      <c r="B2" s="5" t="s">
        <v>50</v>
      </c>
      <c r="C2" s="5" t="s">
        <v>51</v>
      </c>
      <c r="D2" s="6" t="s">
        <v>4</v>
      </c>
      <c r="E2" s="7"/>
      <c r="F2" s="7"/>
      <c r="G2" s="7"/>
      <c r="H2" s="7"/>
      <c r="I2" s="8"/>
      <c r="J2" s="6" t="s">
        <v>5</v>
      </c>
      <c r="K2" s="7"/>
      <c r="L2" s="7"/>
      <c r="M2" s="7"/>
      <c r="N2" s="7"/>
      <c r="O2" s="8"/>
    </row>
    <row r="3" ht="33.0" customHeight="1">
      <c r="A3" s="9"/>
      <c r="B3" s="10"/>
      <c r="C3" s="11"/>
      <c r="D3" s="12" t="s">
        <v>6</v>
      </c>
      <c r="E3" s="12" t="s">
        <v>7</v>
      </c>
      <c r="F3" s="12" t="s">
        <v>8</v>
      </c>
      <c r="G3" s="12" t="s">
        <v>9</v>
      </c>
      <c r="H3" s="12" t="s">
        <v>10</v>
      </c>
      <c r="I3" s="12" t="s">
        <v>52</v>
      </c>
      <c r="J3" s="12" t="s">
        <v>6</v>
      </c>
      <c r="K3" s="12" t="s">
        <v>7</v>
      </c>
      <c r="L3" s="12" t="s">
        <v>8</v>
      </c>
      <c r="M3" s="12" t="s">
        <v>9</v>
      </c>
      <c r="N3" s="12" t="s">
        <v>10</v>
      </c>
      <c r="O3" s="12" t="s">
        <v>52</v>
      </c>
    </row>
    <row r="4" ht="13.5" customHeight="1">
      <c r="A4" s="13">
        <v>3792.0</v>
      </c>
      <c r="B4" s="13">
        <f>SUM(D4:I4)</f>
        <v>864</v>
      </c>
      <c r="C4" s="13">
        <f t="shared" ref="C4:C21" si="2">SUM(J4:O4)</f>
        <v>1202</v>
      </c>
      <c r="D4" s="13">
        <f t="shared" ref="D4:O4" si="1">SUM(D5:D21)</f>
        <v>502</v>
      </c>
      <c r="E4" s="13">
        <f t="shared" si="1"/>
        <v>255</v>
      </c>
      <c r="F4" s="13">
        <f t="shared" si="1"/>
        <v>42</v>
      </c>
      <c r="G4" s="13">
        <f t="shared" si="1"/>
        <v>61</v>
      </c>
      <c r="H4" s="13">
        <f t="shared" si="1"/>
        <v>3</v>
      </c>
      <c r="I4" s="13">
        <f t="shared" si="1"/>
        <v>1</v>
      </c>
      <c r="J4" s="13">
        <f t="shared" si="1"/>
        <v>686</v>
      </c>
      <c r="K4" s="13">
        <f t="shared" si="1"/>
        <v>365</v>
      </c>
      <c r="L4" s="13">
        <f t="shared" si="1"/>
        <v>69</v>
      </c>
      <c r="M4" s="13">
        <f t="shared" si="1"/>
        <v>78</v>
      </c>
      <c r="N4" s="13">
        <f t="shared" si="1"/>
        <v>3</v>
      </c>
      <c r="O4" s="13">
        <f t="shared" si="1"/>
        <v>1</v>
      </c>
      <c r="P4" s="14"/>
      <c r="Q4" s="14"/>
      <c r="R4" s="14"/>
      <c r="S4" s="14"/>
      <c r="T4" s="14"/>
      <c r="U4" s="14"/>
      <c r="V4" s="14"/>
      <c r="W4" s="14"/>
      <c r="X4" s="14"/>
      <c r="Y4" s="14"/>
    </row>
    <row r="5" ht="13.5" customHeight="1">
      <c r="A5" s="15" t="s">
        <v>13</v>
      </c>
      <c r="B5" s="15">
        <f t="shared" ref="B5:B21" si="3">SUM(D5:H5)</f>
        <v>31</v>
      </c>
      <c r="C5" s="15">
        <f t="shared" si="2"/>
        <v>51</v>
      </c>
      <c r="D5" s="15">
        <v>18.0</v>
      </c>
      <c r="E5" s="15">
        <v>13.0</v>
      </c>
      <c r="F5" s="15">
        <v>0.0</v>
      </c>
      <c r="G5" s="15">
        <v>0.0</v>
      </c>
      <c r="H5" s="15">
        <v>0.0</v>
      </c>
      <c r="I5" s="15">
        <v>0.0</v>
      </c>
      <c r="J5" s="15">
        <v>28.0</v>
      </c>
      <c r="K5" s="15">
        <v>23.0</v>
      </c>
      <c r="L5" s="15">
        <v>0.0</v>
      </c>
      <c r="M5" s="15">
        <v>0.0</v>
      </c>
      <c r="N5" s="15">
        <v>0.0</v>
      </c>
      <c r="O5" s="15">
        <v>0.0</v>
      </c>
    </row>
    <row r="6" ht="13.5" customHeight="1">
      <c r="A6" s="15" t="s">
        <v>14</v>
      </c>
      <c r="B6" s="15">
        <f t="shared" si="3"/>
        <v>76</v>
      </c>
      <c r="C6" s="15">
        <f t="shared" si="2"/>
        <v>107</v>
      </c>
      <c r="D6" s="15">
        <v>39.0</v>
      </c>
      <c r="E6" s="15">
        <v>30.0</v>
      </c>
      <c r="F6" s="15">
        <v>5.0</v>
      </c>
      <c r="G6" s="15">
        <v>2.0</v>
      </c>
      <c r="H6" s="15">
        <v>0.0</v>
      </c>
      <c r="I6" s="15">
        <v>0.0</v>
      </c>
      <c r="J6" s="15">
        <v>56.0</v>
      </c>
      <c r="K6" s="15">
        <v>43.0</v>
      </c>
      <c r="L6" s="15">
        <v>6.0</v>
      </c>
      <c r="M6" s="15">
        <v>2.0</v>
      </c>
      <c r="N6" s="15">
        <v>0.0</v>
      </c>
      <c r="O6" s="15">
        <v>0.0</v>
      </c>
    </row>
    <row r="7" ht="13.5" customHeight="1">
      <c r="A7" s="15" t="s">
        <v>15</v>
      </c>
      <c r="B7" s="15">
        <f t="shared" si="3"/>
        <v>18</v>
      </c>
      <c r="C7" s="15">
        <f t="shared" si="2"/>
        <v>24</v>
      </c>
      <c r="D7" s="15">
        <v>10.0</v>
      </c>
      <c r="E7" s="15">
        <v>3.0</v>
      </c>
      <c r="F7" s="15">
        <v>4.0</v>
      </c>
      <c r="G7" s="15">
        <v>1.0</v>
      </c>
      <c r="H7" s="15">
        <v>0.0</v>
      </c>
      <c r="I7" s="15">
        <v>0.0</v>
      </c>
      <c r="J7" s="15">
        <v>13.0</v>
      </c>
      <c r="K7" s="15">
        <v>4.0</v>
      </c>
      <c r="L7" s="15">
        <v>6.0</v>
      </c>
      <c r="M7" s="15">
        <v>1.0</v>
      </c>
      <c r="N7" s="15">
        <v>0.0</v>
      </c>
      <c r="O7" s="15">
        <v>0.0</v>
      </c>
    </row>
    <row r="8" ht="13.5" customHeight="1">
      <c r="A8" s="15" t="s">
        <v>16</v>
      </c>
      <c r="B8" s="15">
        <f t="shared" si="3"/>
        <v>16</v>
      </c>
      <c r="C8" s="15">
        <f t="shared" si="2"/>
        <v>24</v>
      </c>
      <c r="D8" s="15">
        <v>10.0</v>
      </c>
      <c r="E8" s="15">
        <v>4.0</v>
      </c>
      <c r="F8" s="15">
        <v>2.0</v>
      </c>
      <c r="G8" s="15">
        <v>0.0</v>
      </c>
      <c r="H8" s="15">
        <v>0.0</v>
      </c>
      <c r="I8" s="15">
        <v>0.0</v>
      </c>
      <c r="J8" s="15">
        <v>14.0</v>
      </c>
      <c r="K8" s="15">
        <v>6.0</v>
      </c>
      <c r="L8" s="15">
        <v>4.0</v>
      </c>
      <c r="M8" s="15">
        <v>0.0</v>
      </c>
      <c r="N8" s="15">
        <v>0.0</v>
      </c>
      <c r="O8" s="15">
        <v>0.0</v>
      </c>
    </row>
    <row r="9" ht="13.5" customHeight="1">
      <c r="A9" s="15" t="s">
        <v>17</v>
      </c>
      <c r="B9" s="15">
        <f t="shared" si="3"/>
        <v>19</v>
      </c>
      <c r="C9" s="15">
        <f t="shared" si="2"/>
        <v>27</v>
      </c>
      <c r="D9" s="15">
        <v>10.0</v>
      </c>
      <c r="E9" s="15">
        <v>8.0</v>
      </c>
      <c r="F9" s="15">
        <v>0.0</v>
      </c>
      <c r="G9" s="15">
        <v>1.0</v>
      </c>
      <c r="H9" s="15">
        <v>0.0</v>
      </c>
      <c r="I9" s="15">
        <v>0.0</v>
      </c>
      <c r="J9" s="15">
        <v>12.0</v>
      </c>
      <c r="K9" s="15">
        <v>14.0</v>
      </c>
      <c r="L9" s="15">
        <v>0.0</v>
      </c>
      <c r="M9" s="15">
        <v>1.0</v>
      </c>
      <c r="N9" s="15">
        <v>0.0</v>
      </c>
      <c r="O9" s="15">
        <v>0.0</v>
      </c>
    </row>
    <row r="10" ht="13.5" customHeight="1">
      <c r="A10" s="15" t="s">
        <v>53</v>
      </c>
      <c r="B10" s="15">
        <f t="shared" si="3"/>
        <v>3</v>
      </c>
      <c r="C10" s="15">
        <f t="shared" si="2"/>
        <v>3</v>
      </c>
      <c r="D10" s="15">
        <v>0.0</v>
      </c>
      <c r="E10" s="15">
        <v>0.0</v>
      </c>
      <c r="F10" s="15">
        <v>0.0</v>
      </c>
      <c r="G10" s="15">
        <v>0.0</v>
      </c>
      <c r="H10" s="15">
        <v>3.0</v>
      </c>
      <c r="I10" s="15">
        <v>0.0</v>
      </c>
      <c r="J10" s="15">
        <v>0.0</v>
      </c>
      <c r="K10" s="15">
        <v>0.0</v>
      </c>
      <c r="L10" s="15">
        <v>0.0</v>
      </c>
      <c r="M10" s="15">
        <v>0.0</v>
      </c>
      <c r="N10" s="15">
        <v>3.0</v>
      </c>
      <c r="O10" s="15">
        <v>0.0</v>
      </c>
    </row>
    <row r="11" ht="13.5" customHeight="1">
      <c r="A11" s="15" t="s">
        <v>54</v>
      </c>
      <c r="B11" s="15">
        <f t="shared" si="3"/>
        <v>125</v>
      </c>
      <c r="C11" s="15">
        <f t="shared" si="2"/>
        <v>126</v>
      </c>
      <c r="D11" s="15">
        <v>77.0</v>
      </c>
      <c r="E11" s="15">
        <v>28.0</v>
      </c>
      <c r="F11" s="15">
        <v>5.0</v>
      </c>
      <c r="G11" s="15">
        <v>15.0</v>
      </c>
      <c r="H11" s="15">
        <v>0.0</v>
      </c>
      <c r="I11" s="15">
        <v>1.0</v>
      </c>
      <c r="J11" s="15">
        <v>77.0</v>
      </c>
      <c r="K11" s="15">
        <v>28.0</v>
      </c>
      <c r="L11" s="15">
        <v>5.0</v>
      </c>
      <c r="M11" s="15">
        <v>15.0</v>
      </c>
      <c r="N11" s="15">
        <v>0.0</v>
      </c>
      <c r="O11" s="15">
        <v>1.0</v>
      </c>
    </row>
    <row r="12" ht="13.5" customHeight="1">
      <c r="A12" s="15" t="s">
        <v>20</v>
      </c>
      <c r="B12" s="15">
        <f t="shared" si="3"/>
        <v>56</v>
      </c>
      <c r="C12" s="15">
        <f t="shared" si="2"/>
        <v>79</v>
      </c>
      <c r="D12" s="15">
        <v>33.0</v>
      </c>
      <c r="E12" s="15">
        <v>16.0</v>
      </c>
      <c r="F12" s="15">
        <v>2.0</v>
      </c>
      <c r="G12" s="15">
        <v>5.0</v>
      </c>
      <c r="H12" s="15">
        <v>0.0</v>
      </c>
      <c r="I12" s="15">
        <v>0.0</v>
      </c>
      <c r="J12" s="15">
        <v>43.0</v>
      </c>
      <c r="K12" s="15">
        <v>25.0</v>
      </c>
      <c r="L12" s="15">
        <v>4.0</v>
      </c>
      <c r="M12" s="15">
        <v>7.0</v>
      </c>
      <c r="N12" s="15">
        <v>0.0</v>
      </c>
      <c r="O12" s="15">
        <v>0.0</v>
      </c>
    </row>
    <row r="13" ht="13.5" customHeight="1">
      <c r="A13" s="15" t="s">
        <v>21</v>
      </c>
      <c r="B13" s="15">
        <f t="shared" si="3"/>
        <v>41</v>
      </c>
      <c r="C13" s="15">
        <f t="shared" si="2"/>
        <v>60</v>
      </c>
      <c r="D13" s="15">
        <v>24.0</v>
      </c>
      <c r="E13" s="15">
        <v>10.0</v>
      </c>
      <c r="F13" s="15">
        <v>1.0</v>
      </c>
      <c r="G13" s="15">
        <v>6.0</v>
      </c>
      <c r="H13" s="15">
        <v>0.0</v>
      </c>
      <c r="I13" s="15">
        <v>0.0</v>
      </c>
      <c r="J13" s="15">
        <v>37.0</v>
      </c>
      <c r="K13" s="15">
        <v>14.0</v>
      </c>
      <c r="L13" s="15">
        <v>2.0</v>
      </c>
      <c r="M13" s="15">
        <v>7.0</v>
      </c>
      <c r="N13" s="15">
        <v>0.0</v>
      </c>
      <c r="O13" s="15">
        <v>0.0</v>
      </c>
    </row>
    <row r="14" ht="13.5" customHeight="1">
      <c r="A14" s="15" t="s">
        <v>22</v>
      </c>
      <c r="B14" s="15">
        <f t="shared" si="3"/>
        <v>117</v>
      </c>
      <c r="C14" s="15">
        <f t="shared" si="2"/>
        <v>187</v>
      </c>
      <c r="D14" s="15">
        <v>72.0</v>
      </c>
      <c r="E14" s="15">
        <v>32.0</v>
      </c>
      <c r="F14" s="15">
        <v>8.0</v>
      </c>
      <c r="G14" s="15">
        <v>5.0</v>
      </c>
      <c r="H14" s="15">
        <v>0.0</v>
      </c>
      <c r="I14" s="15">
        <v>0.0</v>
      </c>
      <c r="J14" s="15">
        <v>114.0</v>
      </c>
      <c r="K14" s="15">
        <v>51.0</v>
      </c>
      <c r="L14" s="15">
        <v>16.0</v>
      </c>
      <c r="M14" s="15">
        <v>6.0</v>
      </c>
      <c r="N14" s="15">
        <v>0.0</v>
      </c>
      <c r="O14" s="15">
        <v>0.0</v>
      </c>
    </row>
    <row r="15" ht="13.5" customHeight="1">
      <c r="A15" s="15" t="s">
        <v>23</v>
      </c>
      <c r="B15" s="15">
        <f t="shared" si="3"/>
        <v>21</v>
      </c>
      <c r="C15" s="15">
        <f t="shared" si="2"/>
        <v>31</v>
      </c>
      <c r="D15" s="15">
        <v>10.0</v>
      </c>
      <c r="E15" s="15">
        <v>6.0</v>
      </c>
      <c r="F15" s="15">
        <v>4.0</v>
      </c>
      <c r="G15" s="15">
        <v>1.0</v>
      </c>
      <c r="H15" s="15">
        <v>0.0</v>
      </c>
      <c r="I15" s="15">
        <v>0.0</v>
      </c>
      <c r="J15" s="15">
        <v>14.0</v>
      </c>
      <c r="K15" s="15">
        <v>10.0</v>
      </c>
      <c r="L15" s="15">
        <v>6.0</v>
      </c>
      <c r="M15" s="15">
        <v>1.0</v>
      </c>
      <c r="N15" s="15">
        <v>0.0</v>
      </c>
      <c r="O15" s="15">
        <v>0.0</v>
      </c>
    </row>
    <row r="16" ht="13.5" customHeight="1">
      <c r="A16" s="15" t="s">
        <v>24</v>
      </c>
      <c r="B16" s="15">
        <f t="shared" si="3"/>
        <v>73</v>
      </c>
      <c r="C16" s="15">
        <f t="shared" si="2"/>
        <v>106</v>
      </c>
      <c r="D16" s="15">
        <v>44.0</v>
      </c>
      <c r="E16" s="15">
        <v>23.0</v>
      </c>
      <c r="F16" s="15">
        <v>1.0</v>
      </c>
      <c r="G16" s="15">
        <v>5.0</v>
      </c>
      <c r="H16" s="15">
        <v>0.0</v>
      </c>
      <c r="I16" s="15">
        <v>0.0</v>
      </c>
      <c r="J16" s="15">
        <v>62.0</v>
      </c>
      <c r="K16" s="15">
        <v>33.0</v>
      </c>
      <c r="L16" s="15">
        <v>2.0</v>
      </c>
      <c r="M16" s="15">
        <v>9.0</v>
      </c>
      <c r="N16" s="15">
        <v>0.0</v>
      </c>
      <c r="O16" s="15">
        <v>0.0</v>
      </c>
    </row>
    <row r="17" ht="13.5" customHeight="1">
      <c r="A17" s="15" t="s">
        <v>25</v>
      </c>
      <c r="B17" s="15">
        <f t="shared" si="3"/>
        <v>49</v>
      </c>
      <c r="C17" s="15">
        <f t="shared" si="2"/>
        <v>65</v>
      </c>
      <c r="D17" s="15">
        <v>29.0</v>
      </c>
      <c r="E17" s="15">
        <v>15.0</v>
      </c>
      <c r="F17" s="15">
        <v>2.0</v>
      </c>
      <c r="G17" s="15">
        <v>3.0</v>
      </c>
      <c r="H17" s="15">
        <v>0.0</v>
      </c>
      <c r="I17" s="15">
        <v>0.0</v>
      </c>
      <c r="J17" s="15">
        <v>39.0</v>
      </c>
      <c r="K17" s="15">
        <v>20.0</v>
      </c>
      <c r="L17" s="15">
        <v>3.0</v>
      </c>
      <c r="M17" s="15">
        <v>3.0</v>
      </c>
      <c r="N17" s="15">
        <v>0.0</v>
      </c>
      <c r="O17" s="15">
        <v>0.0</v>
      </c>
    </row>
    <row r="18" ht="13.5" customHeight="1">
      <c r="A18" s="15" t="s">
        <v>26</v>
      </c>
      <c r="B18" s="15">
        <f t="shared" si="3"/>
        <v>36</v>
      </c>
      <c r="C18" s="15">
        <f t="shared" si="2"/>
        <v>50</v>
      </c>
      <c r="D18" s="15">
        <v>21.0</v>
      </c>
      <c r="E18" s="15">
        <v>12.0</v>
      </c>
      <c r="F18" s="15">
        <v>2.0</v>
      </c>
      <c r="G18" s="15">
        <v>1.0</v>
      </c>
      <c r="H18" s="15">
        <v>0.0</v>
      </c>
      <c r="I18" s="15">
        <v>0.0</v>
      </c>
      <c r="J18" s="15">
        <v>30.0</v>
      </c>
      <c r="K18" s="15">
        <v>14.0</v>
      </c>
      <c r="L18" s="15">
        <v>4.0</v>
      </c>
      <c r="M18" s="15">
        <v>2.0</v>
      </c>
      <c r="N18" s="15">
        <v>0.0</v>
      </c>
      <c r="O18" s="15">
        <v>0.0</v>
      </c>
    </row>
    <row r="19" ht="13.5" customHeight="1">
      <c r="A19" s="15" t="s">
        <v>27</v>
      </c>
      <c r="B19" s="15">
        <f t="shared" si="3"/>
        <v>98</v>
      </c>
      <c r="C19" s="15">
        <f t="shared" si="2"/>
        <v>137</v>
      </c>
      <c r="D19" s="15">
        <v>61.0</v>
      </c>
      <c r="E19" s="15">
        <v>26.0</v>
      </c>
      <c r="F19" s="15">
        <v>1.0</v>
      </c>
      <c r="G19" s="15">
        <v>10.0</v>
      </c>
      <c r="H19" s="15">
        <v>0.0</v>
      </c>
      <c r="I19" s="15">
        <v>0.0</v>
      </c>
      <c r="J19" s="15">
        <v>86.0</v>
      </c>
      <c r="K19" s="15">
        <v>34.0</v>
      </c>
      <c r="L19" s="15">
        <v>2.0</v>
      </c>
      <c r="M19" s="15">
        <v>15.0</v>
      </c>
      <c r="N19" s="15">
        <v>0.0</v>
      </c>
      <c r="O19" s="15">
        <v>0.0</v>
      </c>
    </row>
    <row r="20" ht="13.5" customHeight="1">
      <c r="A20" s="15" t="s">
        <v>28</v>
      </c>
      <c r="B20" s="15">
        <f t="shared" si="3"/>
        <v>23</v>
      </c>
      <c r="C20" s="15">
        <f t="shared" si="2"/>
        <v>31</v>
      </c>
      <c r="D20" s="15">
        <v>11.0</v>
      </c>
      <c r="E20" s="15">
        <v>9.0</v>
      </c>
      <c r="F20" s="15"/>
      <c r="G20" s="15">
        <v>3.0</v>
      </c>
      <c r="H20" s="15">
        <v>0.0</v>
      </c>
      <c r="I20" s="15">
        <v>0.0</v>
      </c>
      <c r="J20" s="15">
        <v>13.0</v>
      </c>
      <c r="K20" s="15">
        <v>13.0</v>
      </c>
      <c r="L20" s="15"/>
      <c r="M20" s="15">
        <v>5.0</v>
      </c>
      <c r="N20" s="15">
        <v>0.0</v>
      </c>
      <c r="O20" s="15">
        <v>0.0</v>
      </c>
    </row>
    <row r="21" ht="13.5" customHeight="1">
      <c r="A21" s="15" t="s">
        <v>29</v>
      </c>
      <c r="B21" s="15">
        <f t="shared" si="3"/>
        <v>61</v>
      </c>
      <c r="C21" s="15">
        <f t="shared" si="2"/>
        <v>94</v>
      </c>
      <c r="D21" s="15">
        <v>33.0</v>
      </c>
      <c r="E21" s="15">
        <v>20.0</v>
      </c>
      <c r="F21" s="15">
        <v>5.0</v>
      </c>
      <c r="G21" s="15">
        <v>3.0</v>
      </c>
      <c r="H21" s="15">
        <v>0.0</v>
      </c>
      <c r="I21" s="15">
        <v>0.0</v>
      </c>
      <c r="J21" s="15">
        <v>48.0</v>
      </c>
      <c r="K21" s="15">
        <v>33.0</v>
      </c>
      <c r="L21" s="15">
        <v>9.0</v>
      </c>
      <c r="M21" s="15">
        <v>4.0</v>
      </c>
      <c r="N21" s="15">
        <v>0.0</v>
      </c>
      <c r="O21" s="15">
        <v>0.0</v>
      </c>
    </row>
    <row r="22" ht="13.5" customHeight="1">
      <c r="A22" s="16">
        <v>3794.0</v>
      </c>
      <c r="B22" s="17">
        <f t="shared" ref="B22:O22" si="4">SUM(B23:B25)</f>
        <v>140</v>
      </c>
      <c r="C22" s="17">
        <f t="shared" si="4"/>
        <v>198</v>
      </c>
      <c r="D22" s="17">
        <f t="shared" si="4"/>
        <v>83</v>
      </c>
      <c r="E22" s="17">
        <f t="shared" si="4"/>
        <v>33</v>
      </c>
      <c r="F22" s="17">
        <f t="shared" si="4"/>
        <v>6</v>
      </c>
      <c r="G22" s="17">
        <f t="shared" si="4"/>
        <v>18</v>
      </c>
      <c r="H22" s="17">
        <f t="shared" si="4"/>
        <v>0</v>
      </c>
      <c r="I22" s="17">
        <f t="shared" si="4"/>
        <v>0</v>
      </c>
      <c r="J22" s="17">
        <f t="shared" si="4"/>
        <v>113</v>
      </c>
      <c r="K22" s="17">
        <f t="shared" si="4"/>
        <v>52</v>
      </c>
      <c r="L22" s="17">
        <f t="shared" si="4"/>
        <v>9</v>
      </c>
      <c r="M22" s="17">
        <f t="shared" si="4"/>
        <v>24</v>
      </c>
      <c r="N22" s="17">
        <f t="shared" si="4"/>
        <v>0</v>
      </c>
      <c r="O22" s="17">
        <f t="shared" si="4"/>
        <v>0</v>
      </c>
    </row>
    <row r="23" ht="13.5" customHeight="1">
      <c r="A23" s="15" t="s">
        <v>31</v>
      </c>
      <c r="B23" s="18">
        <f t="shared" ref="B23:B31" si="5">SUM(D23:H23)</f>
        <v>35</v>
      </c>
      <c r="C23" s="18">
        <f t="shared" ref="C23:C31" si="6">SUM(J23:O23)</f>
        <v>50</v>
      </c>
      <c r="D23" s="15">
        <v>21.0</v>
      </c>
      <c r="E23" s="15">
        <v>7.0</v>
      </c>
      <c r="F23" s="15">
        <v>2.0</v>
      </c>
      <c r="G23" s="15">
        <v>5.0</v>
      </c>
      <c r="H23" s="18">
        <v>0.0</v>
      </c>
      <c r="I23" s="18">
        <v>0.0</v>
      </c>
      <c r="J23" s="15">
        <v>30.0</v>
      </c>
      <c r="K23" s="15">
        <v>12.0</v>
      </c>
      <c r="L23" s="15">
        <v>2.0</v>
      </c>
      <c r="M23" s="15">
        <v>6.0</v>
      </c>
      <c r="N23" s="15">
        <v>0.0</v>
      </c>
      <c r="O23" s="18">
        <v>0.0</v>
      </c>
    </row>
    <row r="24" ht="13.5" customHeight="1">
      <c r="A24" s="15" t="s">
        <v>32</v>
      </c>
      <c r="B24" s="18">
        <f t="shared" si="5"/>
        <v>35</v>
      </c>
      <c r="C24" s="18">
        <f t="shared" si="6"/>
        <v>47</v>
      </c>
      <c r="D24" s="15">
        <v>24.0</v>
      </c>
      <c r="E24" s="15">
        <v>9.0</v>
      </c>
      <c r="F24" s="15">
        <v>1.0</v>
      </c>
      <c r="G24" s="15">
        <v>1.0</v>
      </c>
      <c r="H24" s="18">
        <v>0.0</v>
      </c>
      <c r="I24" s="18">
        <v>0.0</v>
      </c>
      <c r="J24" s="15">
        <v>31.0</v>
      </c>
      <c r="K24" s="15">
        <v>13.0</v>
      </c>
      <c r="L24" s="15">
        <v>1.0</v>
      </c>
      <c r="M24" s="15">
        <v>2.0</v>
      </c>
      <c r="N24" s="15">
        <v>0.0</v>
      </c>
      <c r="O24" s="18">
        <v>0.0</v>
      </c>
      <c r="P24" s="14"/>
      <c r="Q24" s="14"/>
    </row>
    <row r="25" ht="13.5" customHeight="1">
      <c r="A25" s="15" t="s">
        <v>33</v>
      </c>
      <c r="B25" s="18">
        <f t="shared" si="5"/>
        <v>70</v>
      </c>
      <c r="C25" s="18">
        <f t="shared" si="6"/>
        <v>101</v>
      </c>
      <c r="D25" s="15">
        <v>38.0</v>
      </c>
      <c r="E25" s="15">
        <v>17.0</v>
      </c>
      <c r="F25" s="15">
        <v>3.0</v>
      </c>
      <c r="G25" s="15">
        <v>12.0</v>
      </c>
      <c r="H25" s="18">
        <v>0.0</v>
      </c>
      <c r="I25" s="18">
        <v>0.0</v>
      </c>
      <c r="J25" s="15">
        <v>52.0</v>
      </c>
      <c r="K25" s="15">
        <v>27.0</v>
      </c>
      <c r="L25" s="15">
        <v>6.0</v>
      </c>
      <c r="M25" s="15">
        <v>16.0</v>
      </c>
      <c r="N25" s="15">
        <v>0.0</v>
      </c>
      <c r="O25" s="18">
        <v>0.0</v>
      </c>
    </row>
    <row r="26" ht="13.5" customHeight="1">
      <c r="A26" s="16">
        <v>3795.0</v>
      </c>
      <c r="B26" s="17">
        <f t="shared" si="5"/>
        <v>84</v>
      </c>
      <c r="C26" s="17">
        <f t="shared" si="6"/>
        <v>136</v>
      </c>
      <c r="D26" s="17">
        <f t="shared" ref="D26:O26" si="7">SUM(D27:D28)</f>
        <v>31</v>
      </c>
      <c r="E26" s="17">
        <f t="shared" si="7"/>
        <v>22</v>
      </c>
      <c r="F26" s="17">
        <f t="shared" si="7"/>
        <v>10</v>
      </c>
      <c r="G26" s="17">
        <f t="shared" si="7"/>
        <v>21</v>
      </c>
      <c r="H26" s="17">
        <f t="shared" si="7"/>
        <v>0</v>
      </c>
      <c r="I26" s="17">
        <f t="shared" si="7"/>
        <v>0</v>
      </c>
      <c r="J26" s="17">
        <f t="shared" si="7"/>
        <v>51</v>
      </c>
      <c r="K26" s="17">
        <f t="shared" si="7"/>
        <v>34</v>
      </c>
      <c r="L26" s="17">
        <f t="shared" si="7"/>
        <v>20</v>
      </c>
      <c r="M26" s="17">
        <f t="shared" si="7"/>
        <v>31</v>
      </c>
      <c r="N26" s="17">
        <f t="shared" si="7"/>
        <v>0</v>
      </c>
      <c r="O26" s="17">
        <f t="shared" si="7"/>
        <v>0</v>
      </c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 ht="13.5" customHeight="1">
      <c r="A27" s="15" t="s">
        <v>34</v>
      </c>
      <c r="B27" s="18">
        <f t="shared" si="5"/>
        <v>23</v>
      </c>
      <c r="C27" s="18">
        <f t="shared" si="6"/>
        <v>38</v>
      </c>
      <c r="D27" s="15">
        <v>9.0</v>
      </c>
      <c r="E27" s="15">
        <v>9.0</v>
      </c>
      <c r="F27" s="15">
        <v>2.0</v>
      </c>
      <c r="G27" s="15">
        <v>3.0</v>
      </c>
      <c r="H27" s="18">
        <v>0.0</v>
      </c>
      <c r="I27" s="18">
        <v>0.0</v>
      </c>
      <c r="J27" s="15">
        <v>15.0</v>
      </c>
      <c r="K27" s="15">
        <v>13.0</v>
      </c>
      <c r="L27" s="15">
        <v>5.0</v>
      </c>
      <c r="M27" s="15">
        <v>5.0</v>
      </c>
      <c r="N27" s="15">
        <v>0.0</v>
      </c>
      <c r="O27" s="18">
        <v>0.0</v>
      </c>
    </row>
    <row r="28" ht="13.5" customHeight="1">
      <c r="A28" s="15" t="s">
        <v>35</v>
      </c>
      <c r="B28" s="18">
        <f t="shared" si="5"/>
        <v>61</v>
      </c>
      <c r="C28" s="18">
        <f t="shared" si="6"/>
        <v>98</v>
      </c>
      <c r="D28" s="15">
        <v>22.0</v>
      </c>
      <c r="E28" s="15">
        <v>13.0</v>
      </c>
      <c r="F28" s="15">
        <v>8.0</v>
      </c>
      <c r="G28" s="15">
        <v>18.0</v>
      </c>
      <c r="H28" s="18">
        <v>0.0</v>
      </c>
      <c r="I28" s="18">
        <v>0.0</v>
      </c>
      <c r="J28" s="15">
        <v>36.0</v>
      </c>
      <c r="K28" s="15">
        <v>21.0</v>
      </c>
      <c r="L28" s="15">
        <v>15.0</v>
      </c>
      <c r="M28" s="15">
        <v>26.0</v>
      </c>
      <c r="N28" s="15">
        <v>0.0</v>
      </c>
      <c r="O28" s="18">
        <v>0.0</v>
      </c>
      <c r="R28" s="14"/>
      <c r="S28" s="14"/>
      <c r="T28" s="14"/>
      <c r="U28" s="14"/>
      <c r="V28" s="14"/>
      <c r="W28" s="14"/>
      <c r="X28" s="14"/>
      <c r="Y28" s="14"/>
    </row>
    <row r="29" ht="13.5" customHeight="1">
      <c r="A29" s="16">
        <v>3791.0</v>
      </c>
      <c r="B29" s="17">
        <f t="shared" si="5"/>
        <v>90</v>
      </c>
      <c r="C29" s="17">
        <f t="shared" si="6"/>
        <v>119</v>
      </c>
      <c r="D29" s="17">
        <f t="shared" ref="D29:O29" si="8">SUM(D30:D31)</f>
        <v>54</v>
      </c>
      <c r="E29" s="17">
        <f t="shared" si="8"/>
        <v>25</v>
      </c>
      <c r="F29" s="17">
        <f t="shared" si="8"/>
        <v>5</v>
      </c>
      <c r="G29" s="17">
        <f t="shared" si="8"/>
        <v>6</v>
      </c>
      <c r="H29" s="17">
        <f t="shared" si="8"/>
        <v>0</v>
      </c>
      <c r="I29" s="17">
        <f t="shared" si="8"/>
        <v>0</v>
      </c>
      <c r="J29" s="17">
        <f t="shared" si="8"/>
        <v>69</v>
      </c>
      <c r="K29" s="17">
        <f t="shared" si="8"/>
        <v>35</v>
      </c>
      <c r="L29" s="17">
        <f t="shared" si="8"/>
        <v>7</v>
      </c>
      <c r="M29" s="17">
        <f t="shared" si="8"/>
        <v>8</v>
      </c>
      <c r="N29" s="17">
        <f t="shared" si="8"/>
        <v>0</v>
      </c>
      <c r="O29" s="17">
        <f t="shared" si="8"/>
        <v>0</v>
      </c>
    </row>
    <row r="30" ht="13.5" customHeight="1">
      <c r="A30" s="15" t="s">
        <v>36</v>
      </c>
      <c r="B30" s="15">
        <f t="shared" si="5"/>
        <v>59</v>
      </c>
      <c r="C30" s="18">
        <f t="shared" si="6"/>
        <v>79</v>
      </c>
      <c r="D30" s="15">
        <v>36.0</v>
      </c>
      <c r="E30" s="15">
        <v>15.0</v>
      </c>
      <c r="F30" s="15">
        <v>4.0</v>
      </c>
      <c r="G30" s="15">
        <v>4.0</v>
      </c>
      <c r="H30" s="18">
        <v>0.0</v>
      </c>
      <c r="I30" s="18">
        <v>0.0</v>
      </c>
      <c r="J30" s="15">
        <v>47.0</v>
      </c>
      <c r="K30" s="15">
        <v>22.0</v>
      </c>
      <c r="L30" s="15">
        <v>5.0</v>
      </c>
      <c r="M30" s="15">
        <v>5.0</v>
      </c>
      <c r="N30" s="15">
        <v>0.0</v>
      </c>
      <c r="O30" s="18">
        <v>0.0</v>
      </c>
      <c r="P30" s="14"/>
      <c r="Q30" s="14"/>
    </row>
    <row r="31" ht="13.5" customHeight="1">
      <c r="A31" s="15" t="s">
        <v>37</v>
      </c>
      <c r="B31" s="15">
        <f t="shared" si="5"/>
        <v>31</v>
      </c>
      <c r="C31" s="18">
        <f t="shared" si="6"/>
        <v>40</v>
      </c>
      <c r="D31" s="15">
        <v>18.0</v>
      </c>
      <c r="E31" s="15">
        <v>10.0</v>
      </c>
      <c r="F31" s="15">
        <v>1.0</v>
      </c>
      <c r="G31" s="15">
        <v>2.0</v>
      </c>
      <c r="H31" s="18">
        <v>0.0</v>
      </c>
      <c r="I31" s="18">
        <v>0.0</v>
      </c>
      <c r="J31" s="15">
        <v>22.0</v>
      </c>
      <c r="K31" s="15">
        <v>13.0</v>
      </c>
      <c r="L31" s="15">
        <v>2.0</v>
      </c>
      <c r="M31" s="15">
        <v>3.0</v>
      </c>
      <c r="N31" s="15">
        <v>0.0</v>
      </c>
      <c r="O31" s="18">
        <v>0.0</v>
      </c>
    </row>
    <row r="32" ht="13.5" customHeight="1">
      <c r="A32" s="19" t="s">
        <v>39</v>
      </c>
      <c r="B32" s="20">
        <f t="shared" ref="B32:H32" si="9">B4+B22+B26+B29</f>
        <v>1178</v>
      </c>
      <c r="C32" s="20">
        <f t="shared" si="9"/>
        <v>1655</v>
      </c>
      <c r="D32" s="20">
        <f t="shared" si="9"/>
        <v>670</v>
      </c>
      <c r="E32" s="20">
        <f t="shared" si="9"/>
        <v>335</v>
      </c>
      <c r="F32" s="20">
        <f t="shared" si="9"/>
        <v>63</v>
      </c>
      <c r="G32" s="20">
        <f t="shared" si="9"/>
        <v>106</v>
      </c>
      <c r="H32" s="20">
        <f t="shared" si="9"/>
        <v>3</v>
      </c>
      <c r="I32" s="20"/>
      <c r="J32" s="20">
        <f t="shared" ref="J32:M32" si="10">J4+J22+J26+J29</f>
        <v>919</v>
      </c>
      <c r="K32" s="20">
        <f t="shared" si="10"/>
        <v>486</v>
      </c>
      <c r="L32" s="20">
        <f t="shared" si="10"/>
        <v>105</v>
      </c>
      <c r="M32" s="20">
        <f t="shared" si="10"/>
        <v>141</v>
      </c>
      <c r="N32" s="20"/>
      <c r="O32" s="20">
        <f>O4+O22+O26+O29</f>
        <v>1</v>
      </c>
    </row>
    <row r="33" ht="13.5" customHeight="1">
      <c r="R33" s="14"/>
      <c r="S33" s="14"/>
      <c r="T33" s="14"/>
      <c r="U33" s="14"/>
      <c r="V33" s="14"/>
      <c r="W33" s="14"/>
      <c r="X33" s="14"/>
      <c r="Y33" s="14"/>
    </row>
    <row r="34" ht="13.5" customHeight="1">
      <c r="A34" s="21" t="s">
        <v>40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3"/>
    </row>
    <row r="35" ht="13.5" customHeight="1">
      <c r="A35" s="24" t="s">
        <v>41</v>
      </c>
      <c r="B35" s="29" t="s">
        <v>6</v>
      </c>
      <c r="C35" s="8"/>
      <c r="D35" s="29" t="s">
        <v>7</v>
      </c>
      <c r="E35" s="8"/>
      <c r="F35" s="29" t="s">
        <v>8</v>
      </c>
      <c r="G35" s="8"/>
      <c r="H35" s="29" t="s">
        <v>9</v>
      </c>
      <c r="I35" s="8"/>
      <c r="J35" s="29" t="s">
        <v>55</v>
      </c>
      <c r="K35" s="8"/>
      <c r="L35" s="25" t="s">
        <v>56</v>
      </c>
      <c r="M35" s="25" t="s">
        <v>57</v>
      </c>
    </row>
    <row r="36" ht="13.5" customHeight="1">
      <c r="A36" s="11"/>
      <c r="B36" s="25" t="s">
        <v>45</v>
      </c>
      <c r="C36" s="25" t="s">
        <v>46</v>
      </c>
      <c r="D36" s="25" t="s">
        <v>45</v>
      </c>
      <c r="E36" s="25" t="s">
        <v>46</v>
      </c>
      <c r="F36" s="25" t="s">
        <v>45</v>
      </c>
      <c r="G36" s="25" t="s">
        <v>46</v>
      </c>
      <c r="H36" s="25" t="s">
        <v>45</v>
      </c>
      <c r="I36" s="25" t="s">
        <v>46</v>
      </c>
      <c r="J36" s="25" t="s">
        <v>58</v>
      </c>
      <c r="K36" s="25" t="s">
        <v>46</v>
      </c>
      <c r="L36" s="25"/>
      <c r="M36" s="25"/>
    </row>
    <row r="37" ht="13.5" customHeight="1">
      <c r="A37" s="26" t="s">
        <v>47</v>
      </c>
      <c r="B37" s="27">
        <v>537.0</v>
      </c>
      <c r="C37" s="27">
        <v>850.0</v>
      </c>
      <c r="D37" s="27">
        <v>275.0</v>
      </c>
      <c r="E37" s="27">
        <v>448.0</v>
      </c>
      <c r="F37" s="27">
        <v>58.0</v>
      </c>
      <c r="G37" s="27">
        <v>111.0</v>
      </c>
      <c r="H37" s="27">
        <v>78.0</v>
      </c>
      <c r="I37" s="27">
        <v>117.0</v>
      </c>
      <c r="J37" s="27">
        <v>3.0</v>
      </c>
      <c r="K37" s="27">
        <v>3.0</v>
      </c>
      <c r="L37" s="27">
        <f t="shared" ref="L37:M37" si="11">B37+D37+F37+H37+J37</f>
        <v>951</v>
      </c>
      <c r="M37" s="27">
        <f t="shared" si="11"/>
        <v>1529</v>
      </c>
    </row>
    <row r="38" ht="15.0" customHeight="1">
      <c r="A38" s="26" t="s">
        <v>48</v>
      </c>
      <c r="B38" s="27">
        <v>83.0</v>
      </c>
      <c r="C38" s="27">
        <v>83.0</v>
      </c>
      <c r="D38" s="27">
        <v>35.0</v>
      </c>
      <c r="E38" s="27">
        <v>35.0</v>
      </c>
      <c r="F38" s="27">
        <v>8.0</v>
      </c>
      <c r="G38" s="27">
        <v>8.0</v>
      </c>
      <c r="H38" s="27">
        <v>0.0</v>
      </c>
      <c r="I38" s="27">
        <v>0.0</v>
      </c>
      <c r="J38" s="27">
        <v>0.0</v>
      </c>
      <c r="K38" s="27">
        <v>0.0</v>
      </c>
      <c r="L38" s="27">
        <f t="shared" ref="L38:M38" si="12">B38+D38+F38+H38+J38</f>
        <v>126</v>
      </c>
      <c r="M38" s="27">
        <f t="shared" si="12"/>
        <v>126</v>
      </c>
    </row>
    <row r="39" ht="13.5" customHeight="1">
      <c r="A39" s="28" t="s">
        <v>49</v>
      </c>
      <c r="B39" s="28">
        <f t="shared" ref="B39:H39" si="13">SUM(B37)</f>
        <v>537</v>
      </c>
      <c r="C39" s="28">
        <f t="shared" si="13"/>
        <v>850</v>
      </c>
      <c r="D39" s="28">
        <f t="shared" si="13"/>
        <v>275</v>
      </c>
      <c r="E39" s="28">
        <f t="shared" si="13"/>
        <v>448</v>
      </c>
      <c r="F39" s="28">
        <f t="shared" si="13"/>
        <v>58</v>
      </c>
      <c r="G39" s="28">
        <f t="shared" si="13"/>
        <v>111</v>
      </c>
      <c r="H39" s="28">
        <f t="shared" si="13"/>
        <v>78</v>
      </c>
      <c r="I39" s="28"/>
      <c r="J39" s="28">
        <f t="shared" ref="J39:K39" si="14">SUM(J37)</f>
        <v>3</v>
      </c>
      <c r="K39" s="28">
        <f t="shared" si="14"/>
        <v>3</v>
      </c>
      <c r="L39" s="28">
        <f t="shared" ref="L39:M39" si="15">SUM(L37:L38)</f>
        <v>1077</v>
      </c>
      <c r="M39" s="28">
        <f t="shared" si="15"/>
        <v>1655</v>
      </c>
    </row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13">
    <mergeCell ref="A35:A36"/>
    <mergeCell ref="B35:C35"/>
    <mergeCell ref="D35:E35"/>
    <mergeCell ref="F35:G35"/>
    <mergeCell ref="H35:I35"/>
    <mergeCell ref="J35:K35"/>
    <mergeCell ref="A1:O1"/>
    <mergeCell ref="A2:A3"/>
    <mergeCell ref="B2:B3"/>
    <mergeCell ref="C2:C3"/>
    <mergeCell ref="D2:I2"/>
    <mergeCell ref="J2:O2"/>
    <mergeCell ref="A34:O34"/>
  </mergeCells>
  <printOptions/>
  <pageMargins bottom="0.984027777777778" footer="0.0" header="0.0" left="0.747916666666667" right="0.747916666666667" top="0.984027777777778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60.29"/>
    <col customWidth="1" min="2" max="2" width="10.57"/>
    <col customWidth="1" min="3" max="3" width="12.43"/>
    <col customWidth="1" min="4" max="4" width="10.29"/>
    <col customWidth="1" min="5" max="5" width="7.43"/>
    <col customWidth="1" min="6" max="6" width="10.71"/>
    <col customWidth="1" min="7" max="7" width="6.86"/>
    <col customWidth="1" min="8" max="8" width="10.57"/>
    <col customWidth="1" min="9" max="10" width="7.71"/>
    <col customWidth="1" min="11" max="11" width="9.71"/>
    <col customWidth="1" min="12" max="12" width="8.86"/>
    <col customWidth="1" min="13" max="13" width="9.86"/>
    <col customWidth="1" min="14" max="15" width="9.57"/>
    <col customWidth="1" min="16" max="26" width="15.29"/>
  </cols>
  <sheetData>
    <row r="1" ht="13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5.0" customHeight="1">
      <c r="A2" s="4" t="s">
        <v>1</v>
      </c>
      <c r="B2" s="5" t="s">
        <v>59</v>
      </c>
      <c r="C2" s="5" t="s">
        <v>60</v>
      </c>
      <c r="D2" s="6" t="s">
        <v>4</v>
      </c>
      <c r="E2" s="7"/>
      <c r="F2" s="7"/>
      <c r="G2" s="7"/>
      <c r="H2" s="7"/>
      <c r="I2" s="8"/>
      <c r="J2" s="6" t="s">
        <v>5</v>
      </c>
      <c r="K2" s="7"/>
      <c r="L2" s="7"/>
      <c r="M2" s="7"/>
      <c r="N2" s="7"/>
      <c r="O2" s="8"/>
    </row>
    <row r="3" ht="33.0" customHeight="1">
      <c r="A3" s="9"/>
      <c r="B3" s="10"/>
      <c r="C3" s="11"/>
      <c r="D3" s="12" t="s">
        <v>6</v>
      </c>
      <c r="E3" s="12" t="s">
        <v>7</v>
      </c>
      <c r="F3" s="12" t="s">
        <v>8</v>
      </c>
      <c r="G3" s="12" t="s">
        <v>9</v>
      </c>
      <c r="H3" s="12" t="s">
        <v>10</v>
      </c>
      <c r="I3" s="12" t="s">
        <v>52</v>
      </c>
      <c r="J3" s="12" t="s">
        <v>6</v>
      </c>
      <c r="K3" s="12" t="s">
        <v>7</v>
      </c>
      <c r="L3" s="12" t="s">
        <v>8</v>
      </c>
      <c r="M3" s="12" t="s">
        <v>9</v>
      </c>
      <c r="N3" s="12" t="s">
        <v>10</v>
      </c>
      <c r="O3" s="12" t="s">
        <v>52</v>
      </c>
    </row>
    <row r="4" ht="13.5" customHeight="1">
      <c r="A4" s="13">
        <v>3792.0</v>
      </c>
      <c r="B4" s="13">
        <f>SUM(D4:I4)</f>
        <v>1007</v>
      </c>
      <c r="C4" s="13">
        <f t="shared" ref="C4:C25" si="2">SUM(J4:O4)</f>
        <v>1401</v>
      </c>
      <c r="D4" s="13">
        <f t="shared" ref="D4:O4" si="1">SUM(D5:D25)</f>
        <v>597</v>
      </c>
      <c r="E4" s="13">
        <f t="shared" si="1"/>
        <v>282</v>
      </c>
      <c r="F4" s="13">
        <f t="shared" si="1"/>
        <v>48</v>
      </c>
      <c r="G4" s="13">
        <f t="shared" si="1"/>
        <v>77</v>
      </c>
      <c r="H4" s="13">
        <f t="shared" si="1"/>
        <v>3</v>
      </c>
      <c r="I4" s="13">
        <f t="shared" si="1"/>
        <v>0</v>
      </c>
      <c r="J4" s="13">
        <f t="shared" si="1"/>
        <v>815</v>
      </c>
      <c r="K4" s="13">
        <f t="shared" si="1"/>
        <v>415</v>
      </c>
      <c r="L4" s="13">
        <f t="shared" si="1"/>
        <v>74</v>
      </c>
      <c r="M4" s="13">
        <f t="shared" si="1"/>
        <v>93</v>
      </c>
      <c r="N4" s="13">
        <f t="shared" si="1"/>
        <v>4</v>
      </c>
      <c r="O4" s="13">
        <f t="shared" si="1"/>
        <v>0</v>
      </c>
      <c r="P4" s="14"/>
      <c r="Q4" s="14"/>
      <c r="R4" s="14"/>
      <c r="S4" s="14"/>
      <c r="T4" s="14"/>
      <c r="U4" s="14"/>
      <c r="V4" s="14"/>
      <c r="W4" s="14"/>
      <c r="X4" s="14"/>
      <c r="Y4" s="14"/>
    </row>
    <row r="5" ht="13.5" customHeight="1">
      <c r="A5" s="30" t="s">
        <v>11</v>
      </c>
      <c r="B5" s="15">
        <f t="shared" ref="B5:B25" si="3">SUM(D5:H5)</f>
        <v>1</v>
      </c>
      <c r="C5" s="15">
        <f t="shared" si="2"/>
        <v>2</v>
      </c>
      <c r="D5" s="30">
        <v>0.0</v>
      </c>
      <c r="E5" s="30">
        <v>0.0</v>
      </c>
      <c r="F5" s="30">
        <v>0.0</v>
      </c>
      <c r="G5" s="30">
        <v>0.0</v>
      </c>
      <c r="H5" s="30">
        <v>1.0</v>
      </c>
      <c r="I5" s="15">
        <v>0.0</v>
      </c>
      <c r="J5" s="30">
        <v>0.0</v>
      </c>
      <c r="K5" s="30">
        <v>0.0</v>
      </c>
      <c r="L5" s="30">
        <v>0.0</v>
      </c>
      <c r="M5" s="30">
        <v>0.0</v>
      </c>
      <c r="N5" s="30">
        <v>2.0</v>
      </c>
      <c r="O5" s="15">
        <v>0.0</v>
      </c>
    </row>
    <row r="6" ht="13.5" customHeight="1">
      <c r="A6" s="30" t="s">
        <v>61</v>
      </c>
      <c r="B6" s="15">
        <f t="shared" si="3"/>
        <v>1</v>
      </c>
      <c r="C6" s="15">
        <f t="shared" si="2"/>
        <v>1</v>
      </c>
      <c r="D6" s="30">
        <v>0.0</v>
      </c>
      <c r="E6" s="30">
        <v>0.0</v>
      </c>
      <c r="F6" s="30">
        <v>0.0</v>
      </c>
      <c r="G6" s="30">
        <v>0.0</v>
      </c>
      <c r="H6" s="30">
        <v>1.0</v>
      </c>
      <c r="I6" s="15">
        <v>0.0</v>
      </c>
      <c r="J6" s="30">
        <v>0.0</v>
      </c>
      <c r="K6" s="30">
        <v>0.0</v>
      </c>
      <c r="L6" s="30">
        <v>0.0</v>
      </c>
      <c r="M6" s="30">
        <v>0.0</v>
      </c>
      <c r="N6" s="30">
        <v>1.0</v>
      </c>
      <c r="O6" s="15">
        <v>0.0</v>
      </c>
    </row>
    <row r="7" ht="13.5" customHeight="1">
      <c r="A7" s="30" t="s">
        <v>13</v>
      </c>
      <c r="B7" s="15">
        <f t="shared" si="3"/>
        <v>36</v>
      </c>
      <c r="C7" s="15">
        <f t="shared" si="2"/>
        <v>57</v>
      </c>
      <c r="D7" s="30">
        <v>22.0</v>
      </c>
      <c r="E7" s="30">
        <v>14.0</v>
      </c>
      <c r="F7" s="30">
        <v>0.0</v>
      </c>
      <c r="G7" s="30">
        <v>0.0</v>
      </c>
      <c r="H7" s="30">
        <v>0.0</v>
      </c>
      <c r="I7" s="15">
        <v>0.0</v>
      </c>
      <c r="J7" s="30">
        <v>33.0</v>
      </c>
      <c r="K7" s="30">
        <v>24.0</v>
      </c>
      <c r="L7" s="30">
        <v>0.0</v>
      </c>
      <c r="M7" s="30">
        <v>0.0</v>
      </c>
      <c r="N7" s="30">
        <v>0.0</v>
      </c>
      <c r="O7" s="15">
        <v>0.0</v>
      </c>
    </row>
    <row r="8" ht="13.5" customHeight="1">
      <c r="A8" s="30" t="s">
        <v>62</v>
      </c>
      <c r="B8" s="15">
        <f t="shared" si="3"/>
        <v>1</v>
      </c>
      <c r="C8" s="15">
        <f t="shared" si="2"/>
        <v>1</v>
      </c>
      <c r="D8" s="30">
        <v>0.0</v>
      </c>
      <c r="E8" s="30">
        <v>0.0</v>
      </c>
      <c r="F8" s="30">
        <v>0.0</v>
      </c>
      <c r="G8" s="30">
        <v>1.0</v>
      </c>
      <c r="H8" s="30">
        <v>0.0</v>
      </c>
      <c r="I8" s="15">
        <v>0.0</v>
      </c>
      <c r="J8" s="30">
        <v>0.0</v>
      </c>
      <c r="K8" s="30">
        <v>0.0</v>
      </c>
      <c r="L8" s="30">
        <v>0.0</v>
      </c>
      <c r="M8" s="30">
        <v>1.0</v>
      </c>
      <c r="N8" s="30">
        <v>0.0</v>
      </c>
      <c r="O8" s="15">
        <v>0.0</v>
      </c>
    </row>
    <row r="9" ht="13.5" customHeight="1">
      <c r="A9" s="30" t="s">
        <v>14</v>
      </c>
      <c r="B9" s="15">
        <f t="shared" si="3"/>
        <v>74</v>
      </c>
      <c r="C9" s="15">
        <f t="shared" si="2"/>
        <v>115</v>
      </c>
      <c r="D9" s="30">
        <v>36.0</v>
      </c>
      <c r="E9" s="30">
        <v>33.0</v>
      </c>
      <c r="F9" s="30">
        <v>5.0</v>
      </c>
      <c r="G9" s="30">
        <v>0.0</v>
      </c>
      <c r="H9" s="30">
        <v>0.0</v>
      </c>
      <c r="I9" s="15">
        <v>0.0</v>
      </c>
      <c r="J9" s="30">
        <v>60.0</v>
      </c>
      <c r="K9" s="30">
        <v>47.0</v>
      </c>
      <c r="L9" s="30">
        <v>8.0</v>
      </c>
      <c r="M9" s="30">
        <v>0.0</v>
      </c>
      <c r="N9" s="30">
        <v>0.0</v>
      </c>
      <c r="O9" s="15">
        <v>0.0</v>
      </c>
    </row>
    <row r="10" ht="13.5" customHeight="1">
      <c r="A10" s="30" t="s">
        <v>15</v>
      </c>
      <c r="B10" s="15">
        <f t="shared" si="3"/>
        <v>13</v>
      </c>
      <c r="C10" s="15">
        <f t="shared" si="2"/>
        <v>18</v>
      </c>
      <c r="D10" s="30">
        <v>7.0</v>
      </c>
      <c r="E10" s="30">
        <v>2.0</v>
      </c>
      <c r="F10" s="30">
        <v>3.0</v>
      </c>
      <c r="G10" s="30">
        <v>1.0</v>
      </c>
      <c r="H10" s="30">
        <v>0.0</v>
      </c>
      <c r="I10" s="15">
        <v>0.0</v>
      </c>
      <c r="J10" s="30">
        <v>9.0</v>
      </c>
      <c r="K10" s="30">
        <v>4.0</v>
      </c>
      <c r="L10" s="30">
        <v>4.0</v>
      </c>
      <c r="M10" s="30">
        <v>1.0</v>
      </c>
      <c r="N10" s="30">
        <v>0.0</v>
      </c>
      <c r="O10" s="15">
        <v>0.0</v>
      </c>
    </row>
    <row r="11" ht="13.5" customHeight="1">
      <c r="A11" s="30" t="s">
        <v>16</v>
      </c>
      <c r="B11" s="15">
        <f t="shared" si="3"/>
        <v>15</v>
      </c>
      <c r="C11" s="15">
        <f t="shared" si="2"/>
        <v>23</v>
      </c>
      <c r="D11" s="30">
        <v>10.0</v>
      </c>
      <c r="E11" s="30">
        <v>3.0</v>
      </c>
      <c r="F11" s="30">
        <v>2.0</v>
      </c>
      <c r="G11" s="30">
        <v>0.0</v>
      </c>
      <c r="H11" s="30">
        <v>0.0</v>
      </c>
      <c r="I11" s="15">
        <v>0.0</v>
      </c>
      <c r="J11" s="30">
        <v>14.0</v>
      </c>
      <c r="K11" s="30">
        <v>6.0</v>
      </c>
      <c r="L11" s="30">
        <v>3.0</v>
      </c>
      <c r="M11" s="30">
        <v>0.0</v>
      </c>
      <c r="N11" s="30">
        <v>0.0</v>
      </c>
      <c r="O11" s="15">
        <v>0.0</v>
      </c>
    </row>
    <row r="12" ht="13.5" customHeight="1">
      <c r="A12" s="30" t="s">
        <v>63</v>
      </c>
      <c r="B12" s="15">
        <f t="shared" si="3"/>
        <v>85</v>
      </c>
      <c r="C12" s="15">
        <f t="shared" si="2"/>
        <v>86</v>
      </c>
      <c r="D12" s="30">
        <v>60.0</v>
      </c>
      <c r="E12" s="30">
        <v>8.0</v>
      </c>
      <c r="F12" s="30">
        <v>0.0</v>
      </c>
      <c r="G12" s="30">
        <v>17.0</v>
      </c>
      <c r="H12" s="30">
        <v>0.0</v>
      </c>
      <c r="I12" s="15">
        <v>0.0</v>
      </c>
      <c r="J12" s="30">
        <v>60.0</v>
      </c>
      <c r="K12" s="30">
        <v>9.0</v>
      </c>
      <c r="L12" s="30">
        <v>0.0</v>
      </c>
      <c r="M12" s="30">
        <v>17.0</v>
      </c>
      <c r="N12" s="30">
        <v>0.0</v>
      </c>
      <c r="O12" s="15">
        <v>0.0</v>
      </c>
    </row>
    <row r="13" ht="13.5" customHeight="1">
      <c r="A13" s="30" t="s">
        <v>17</v>
      </c>
      <c r="B13" s="15">
        <f t="shared" si="3"/>
        <v>23</v>
      </c>
      <c r="C13" s="15">
        <f t="shared" si="2"/>
        <v>34</v>
      </c>
      <c r="D13" s="30">
        <v>14.0</v>
      </c>
      <c r="E13" s="30">
        <v>9.0</v>
      </c>
      <c r="F13" s="30">
        <v>0.0</v>
      </c>
      <c r="G13" s="30">
        <v>0.0</v>
      </c>
      <c r="H13" s="30">
        <v>0.0</v>
      </c>
      <c r="I13" s="15">
        <v>0.0</v>
      </c>
      <c r="J13" s="30">
        <v>21.0</v>
      </c>
      <c r="K13" s="30">
        <v>13.0</v>
      </c>
      <c r="L13" s="30">
        <v>0.0</v>
      </c>
      <c r="M13" s="30">
        <v>0.0</v>
      </c>
      <c r="N13" s="30">
        <v>0.0</v>
      </c>
      <c r="O13" s="15">
        <v>0.0</v>
      </c>
    </row>
    <row r="14" ht="13.5" customHeight="1">
      <c r="A14" s="30" t="s">
        <v>53</v>
      </c>
      <c r="B14" s="15">
        <f t="shared" si="3"/>
        <v>1</v>
      </c>
      <c r="C14" s="15">
        <f t="shared" si="2"/>
        <v>1</v>
      </c>
      <c r="D14" s="30">
        <v>0.0</v>
      </c>
      <c r="E14" s="30">
        <v>0.0</v>
      </c>
      <c r="F14" s="30">
        <v>0.0</v>
      </c>
      <c r="G14" s="30">
        <v>0.0</v>
      </c>
      <c r="H14" s="30">
        <v>1.0</v>
      </c>
      <c r="I14" s="15">
        <v>0.0</v>
      </c>
      <c r="J14" s="30">
        <v>0.0</v>
      </c>
      <c r="K14" s="30">
        <v>0.0</v>
      </c>
      <c r="L14" s="30">
        <v>0.0</v>
      </c>
      <c r="M14" s="30">
        <v>0.0</v>
      </c>
      <c r="N14" s="30">
        <v>1.0</v>
      </c>
      <c r="O14" s="15">
        <v>0.0</v>
      </c>
    </row>
    <row r="15" ht="13.5" customHeight="1">
      <c r="A15" s="30" t="s">
        <v>54</v>
      </c>
      <c r="B15" s="15">
        <f t="shared" si="3"/>
        <v>168</v>
      </c>
      <c r="C15" s="15">
        <f t="shared" si="2"/>
        <v>168</v>
      </c>
      <c r="D15" s="30">
        <v>112.0</v>
      </c>
      <c r="E15" s="30">
        <v>36.0</v>
      </c>
      <c r="F15" s="30">
        <v>6.0</v>
      </c>
      <c r="G15" s="30">
        <v>14.0</v>
      </c>
      <c r="H15" s="30">
        <v>0.0</v>
      </c>
      <c r="I15" s="15">
        <v>0.0</v>
      </c>
      <c r="J15" s="30">
        <v>112.0</v>
      </c>
      <c r="K15" s="30">
        <v>36.0</v>
      </c>
      <c r="L15" s="30">
        <v>6.0</v>
      </c>
      <c r="M15" s="30">
        <v>14.0</v>
      </c>
      <c r="N15" s="30">
        <v>0.0</v>
      </c>
      <c r="O15" s="15">
        <v>0.0</v>
      </c>
    </row>
    <row r="16" ht="13.5" customHeight="1">
      <c r="A16" s="30" t="s">
        <v>20</v>
      </c>
      <c r="B16" s="15">
        <f t="shared" si="3"/>
        <v>60</v>
      </c>
      <c r="C16" s="15">
        <f t="shared" si="2"/>
        <v>92</v>
      </c>
      <c r="D16" s="30">
        <v>36.0</v>
      </c>
      <c r="E16" s="30">
        <v>17.0</v>
      </c>
      <c r="F16" s="30">
        <v>3.0</v>
      </c>
      <c r="G16" s="30">
        <v>4.0</v>
      </c>
      <c r="H16" s="30">
        <v>0.0</v>
      </c>
      <c r="I16" s="15">
        <v>0.0</v>
      </c>
      <c r="J16" s="30">
        <v>53.0</v>
      </c>
      <c r="K16" s="30">
        <v>28.0</v>
      </c>
      <c r="L16" s="30">
        <v>6.0</v>
      </c>
      <c r="M16" s="30">
        <v>5.0</v>
      </c>
      <c r="N16" s="30">
        <v>0.0</v>
      </c>
      <c r="O16" s="15">
        <v>0.0</v>
      </c>
    </row>
    <row r="17" ht="13.5" customHeight="1">
      <c r="A17" s="30" t="s">
        <v>21</v>
      </c>
      <c r="B17" s="15">
        <f t="shared" si="3"/>
        <v>41</v>
      </c>
      <c r="C17" s="15">
        <f t="shared" si="2"/>
        <v>61</v>
      </c>
      <c r="D17" s="30">
        <v>23.0</v>
      </c>
      <c r="E17" s="30">
        <v>10.0</v>
      </c>
      <c r="F17" s="30">
        <v>2.0</v>
      </c>
      <c r="G17" s="30">
        <v>6.0</v>
      </c>
      <c r="H17" s="30">
        <v>0.0</v>
      </c>
      <c r="I17" s="15">
        <v>0.0</v>
      </c>
      <c r="J17" s="30">
        <v>35.0</v>
      </c>
      <c r="K17" s="30">
        <v>16.0</v>
      </c>
      <c r="L17" s="30">
        <v>3.0</v>
      </c>
      <c r="M17" s="30">
        <v>7.0</v>
      </c>
      <c r="N17" s="30">
        <v>0.0</v>
      </c>
      <c r="O17" s="15">
        <v>0.0</v>
      </c>
    </row>
    <row r="18" ht="13.5" customHeight="1">
      <c r="A18" s="30" t="s">
        <v>22</v>
      </c>
      <c r="B18" s="15">
        <f t="shared" si="3"/>
        <v>120</v>
      </c>
      <c r="C18" s="15">
        <f t="shared" si="2"/>
        <v>200</v>
      </c>
      <c r="D18" s="30">
        <v>73.0</v>
      </c>
      <c r="E18" s="30">
        <v>33.0</v>
      </c>
      <c r="F18" s="30">
        <v>9.0</v>
      </c>
      <c r="G18" s="30">
        <v>5.0</v>
      </c>
      <c r="H18" s="30">
        <v>0.0</v>
      </c>
      <c r="I18" s="15">
        <v>0.0</v>
      </c>
      <c r="J18" s="30">
        <v>122.0</v>
      </c>
      <c r="K18" s="30">
        <v>56.0</v>
      </c>
      <c r="L18" s="30">
        <v>16.0</v>
      </c>
      <c r="M18" s="30">
        <v>6.0</v>
      </c>
      <c r="N18" s="30">
        <v>0.0</v>
      </c>
      <c r="O18" s="15">
        <v>0.0</v>
      </c>
    </row>
    <row r="19" ht="13.5" customHeight="1">
      <c r="A19" s="30" t="s">
        <v>23</v>
      </c>
      <c r="B19" s="15">
        <f t="shared" si="3"/>
        <v>16</v>
      </c>
      <c r="C19" s="15">
        <f t="shared" si="2"/>
        <v>25</v>
      </c>
      <c r="D19" s="30">
        <v>5.0</v>
      </c>
      <c r="E19" s="30">
        <v>6.0</v>
      </c>
      <c r="F19" s="30">
        <v>4.0</v>
      </c>
      <c r="G19" s="30">
        <v>1.0</v>
      </c>
      <c r="H19" s="30">
        <v>0.0</v>
      </c>
      <c r="I19" s="15">
        <v>0.0</v>
      </c>
      <c r="J19" s="30">
        <v>8.0</v>
      </c>
      <c r="K19" s="30">
        <v>9.0</v>
      </c>
      <c r="L19" s="30">
        <v>7.0</v>
      </c>
      <c r="M19" s="30">
        <v>1.0</v>
      </c>
      <c r="N19" s="30">
        <v>0.0</v>
      </c>
      <c r="O19" s="15">
        <v>0.0</v>
      </c>
    </row>
    <row r="20" ht="13.5" customHeight="1">
      <c r="A20" s="30" t="s">
        <v>24</v>
      </c>
      <c r="B20" s="15">
        <f t="shared" si="3"/>
        <v>75</v>
      </c>
      <c r="C20" s="15">
        <f t="shared" si="2"/>
        <v>104</v>
      </c>
      <c r="D20" s="30">
        <v>42.0</v>
      </c>
      <c r="E20" s="30">
        <v>24.0</v>
      </c>
      <c r="F20" s="30">
        <v>3.0</v>
      </c>
      <c r="G20" s="30">
        <v>6.0</v>
      </c>
      <c r="H20" s="30">
        <v>0.0</v>
      </c>
      <c r="I20" s="15">
        <v>0.0</v>
      </c>
      <c r="J20" s="30">
        <v>57.0</v>
      </c>
      <c r="K20" s="30">
        <v>35.0</v>
      </c>
      <c r="L20" s="30">
        <v>4.0</v>
      </c>
      <c r="M20" s="30">
        <v>8.0</v>
      </c>
      <c r="N20" s="30">
        <v>0.0</v>
      </c>
      <c r="O20" s="15">
        <v>0.0</v>
      </c>
    </row>
    <row r="21" ht="13.5" customHeight="1">
      <c r="A21" s="30" t="s">
        <v>25</v>
      </c>
      <c r="B21" s="15">
        <f t="shared" si="3"/>
        <v>47</v>
      </c>
      <c r="C21" s="15">
        <f t="shared" si="2"/>
        <v>75</v>
      </c>
      <c r="D21" s="30">
        <v>26.0</v>
      </c>
      <c r="E21" s="30">
        <v>16.0</v>
      </c>
      <c r="F21" s="30">
        <v>3.0</v>
      </c>
      <c r="G21" s="30">
        <v>2.0</v>
      </c>
      <c r="H21" s="30">
        <v>0.0</v>
      </c>
      <c r="I21" s="15">
        <v>0.0</v>
      </c>
      <c r="J21" s="30">
        <v>40.0</v>
      </c>
      <c r="K21" s="30">
        <v>27.0</v>
      </c>
      <c r="L21" s="30">
        <v>4.0</v>
      </c>
      <c r="M21" s="30">
        <v>4.0</v>
      </c>
      <c r="N21" s="30">
        <v>0.0</v>
      </c>
      <c r="O21" s="15">
        <v>0.0</v>
      </c>
    </row>
    <row r="22" ht="13.5" customHeight="1">
      <c r="A22" s="30" t="s">
        <v>26</v>
      </c>
      <c r="B22" s="15">
        <f t="shared" si="3"/>
        <v>32</v>
      </c>
      <c r="C22" s="15">
        <f t="shared" si="2"/>
        <v>46</v>
      </c>
      <c r="D22" s="30">
        <v>19.0</v>
      </c>
      <c r="E22" s="30">
        <v>9.0</v>
      </c>
      <c r="F22" s="30">
        <v>3.0</v>
      </c>
      <c r="G22" s="30">
        <v>1.0</v>
      </c>
      <c r="H22" s="30">
        <v>0.0</v>
      </c>
      <c r="I22" s="15">
        <v>0.0</v>
      </c>
      <c r="J22" s="30">
        <v>27.0</v>
      </c>
      <c r="K22" s="30">
        <v>13.0</v>
      </c>
      <c r="L22" s="30">
        <v>4.0</v>
      </c>
      <c r="M22" s="30">
        <v>2.0</v>
      </c>
      <c r="N22" s="30">
        <v>0.0</v>
      </c>
      <c r="O22" s="15">
        <v>0.0</v>
      </c>
    </row>
    <row r="23" ht="13.5" customHeight="1">
      <c r="A23" s="30" t="s">
        <v>27</v>
      </c>
      <c r="B23" s="15">
        <f t="shared" si="3"/>
        <v>114</v>
      </c>
      <c r="C23" s="15">
        <f t="shared" si="2"/>
        <v>158</v>
      </c>
      <c r="D23" s="30">
        <v>71.0</v>
      </c>
      <c r="E23" s="30">
        <v>32.0</v>
      </c>
      <c r="F23" s="30">
        <v>1.0</v>
      </c>
      <c r="G23" s="30">
        <v>10.0</v>
      </c>
      <c r="H23" s="30">
        <v>0.0</v>
      </c>
      <c r="I23" s="15">
        <v>0.0</v>
      </c>
      <c r="J23" s="30">
        <v>96.0</v>
      </c>
      <c r="K23" s="30">
        <v>47.0</v>
      </c>
      <c r="L23" s="30">
        <v>2.0</v>
      </c>
      <c r="M23" s="30">
        <v>13.0</v>
      </c>
      <c r="N23" s="30">
        <v>0.0</v>
      </c>
      <c r="O23" s="15">
        <v>0.0</v>
      </c>
    </row>
    <row r="24" ht="13.5" customHeight="1">
      <c r="A24" s="30" t="s">
        <v>28</v>
      </c>
      <c r="B24" s="15">
        <f t="shared" si="3"/>
        <v>22</v>
      </c>
      <c r="C24" s="15">
        <f t="shared" si="2"/>
        <v>32</v>
      </c>
      <c r="D24" s="30">
        <v>7.0</v>
      </c>
      <c r="E24" s="30">
        <v>11.0</v>
      </c>
      <c r="F24" s="30">
        <v>1.0</v>
      </c>
      <c r="G24" s="30">
        <v>3.0</v>
      </c>
      <c r="H24" s="30">
        <v>0.0</v>
      </c>
      <c r="I24" s="15">
        <v>0.0</v>
      </c>
      <c r="J24" s="30">
        <v>10.0</v>
      </c>
      <c r="K24" s="30">
        <v>15.0</v>
      </c>
      <c r="L24" s="30">
        <v>1.0</v>
      </c>
      <c r="M24" s="30">
        <v>6.0</v>
      </c>
      <c r="N24" s="30">
        <v>0.0</v>
      </c>
      <c r="O24" s="15">
        <v>0.0</v>
      </c>
    </row>
    <row r="25" ht="13.5" customHeight="1">
      <c r="A25" s="30" t="s">
        <v>29</v>
      </c>
      <c r="B25" s="15">
        <f t="shared" si="3"/>
        <v>62</v>
      </c>
      <c r="C25" s="15">
        <f t="shared" si="2"/>
        <v>102</v>
      </c>
      <c r="D25" s="30">
        <v>34.0</v>
      </c>
      <c r="E25" s="30">
        <v>19.0</v>
      </c>
      <c r="F25" s="30">
        <v>3.0</v>
      </c>
      <c r="G25" s="30">
        <v>6.0</v>
      </c>
      <c r="H25" s="30">
        <v>0.0</v>
      </c>
      <c r="I25" s="15">
        <v>0.0</v>
      </c>
      <c r="J25" s="30">
        <v>58.0</v>
      </c>
      <c r="K25" s="30">
        <v>30.0</v>
      </c>
      <c r="L25" s="30">
        <v>6.0</v>
      </c>
      <c r="M25" s="30">
        <v>8.0</v>
      </c>
      <c r="N25" s="30">
        <v>0.0</v>
      </c>
      <c r="O25" s="15">
        <v>0.0</v>
      </c>
    </row>
    <row r="26" ht="13.5" customHeight="1">
      <c r="A26" s="16">
        <v>3794.0</v>
      </c>
      <c r="B26" s="17">
        <f t="shared" ref="B26:O26" si="4">SUM(B27:B29)</f>
        <v>156</v>
      </c>
      <c r="C26" s="17">
        <f t="shared" si="4"/>
        <v>242</v>
      </c>
      <c r="D26" s="17">
        <f t="shared" si="4"/>
        <v>97</v>
      </c>
      <c r="E26" s="17">
        <f t="shared" si="4"/>
        <v>38</v>
      </c>
      <c r="F26" s="17">
        <f t="shared" si="4"/>
        <v>4</v>
      </c>
      <c r="G26" s="17">
        <f t="shared" si="4"/>
        <v>17</v>
      </c>
      <c r="H26" s="17">
        <f t="shared" si="4"/>
        <v>0</v>
      </c>
      <c r="I26" s="17">
        <f t="shared" si="4"/>
        <v>0</v>
      </c>
      <c r="J26" s="17">
        <f t="shared" si="4"/>
        <v>146</v>
      </c>
      <c r="K26" s="17">
        <f t="shared" si="4"/>
        <v>66</v>
      </c>
      <c r="L26" s="17">
        <f t="shared" si="4"/>
        <v>8</v>
      </c>
      <c r="M26" s="17">
        <f t="shared" si="4"/>
        <v>22</v>
      </c>
      <c r="N26" s="17">
        <f t="shared" si="4"/>
        <v>0</v>
      </c>
      <c r="O26" s="17">
        <f t="shared" si="4"/>
        <v>0</v>
      </c>
    </row>
    <row r="27" ht="13.5" customHeight="1">
      <c r="A27" s="30" t="s">
        <v>31</v>
      </c>
      <c r="B27" s="18">
        <f t="shared" ref="B27:B36" si="5">SUM(D27:H27)</f>
        <v>42</v>
      </c>
      <c r="C27" s="18">
        <f t="shared" ref="C27:C36" si="6">SUM(J27:O27)</f>
        <v>67</v>
      </c>
      <c r="D27" s="30">
        <v>26.0</v>
      </c>
      <c r="E27" s="30">
        <v>10.0</v>
      </c>
      <c r="F27" s="30">
        <v>2.0</v>
      </c>
      <c r="G27" s="30">
        <v>4.0</v>
      </c>
      <c r="H27" s="18">
        <v>0.0</v>
      </c>
      <c r="I27" s="18">
        <v>0.0</v>
      </c>
      <c r="J27" s="30">
        <v>42.0</v>
      </c>
      <c r="K27" s="30">
        <v>17.0</v>
      </c>
      <c r="L27" s="30">
        <v>4.0</v>
      </c>
      <c r="M27" s="30">
        <v>4.0</v>
      </c>
      <c r="N27" s="15">
        <v>0.0</v>
      </c>
      <c r="O27" s="18">
        <v>0.0</v>
      </c>
    </row>
    <row r="28" ht="13.5" customHeight="1">
      <c r="A28" s="30" t="s">
        <v>32</v>
      </c>
      <c r="B28" s="18">
        <f t="shared" si="5"/>
        <v>37</v>
      </c>
      <c r="C28" s="18">
        <f t="shared" si="6"/>
        <v>56</v>
      </c>
      <c r="D28" s="30">
        <v>27.0</v>
      </c>
      <c r="E28" s="30">
        <v>8.0</v>
      </c>
      <c r="F28" s="30">
        <v>0.0</v>
      </c>
      <c r="G28" s="30">
        <v>2.0</v>
      </c>
      <c r="H28" s="18">
        <v>0.0</v>
      </c>
      <c r="I28" s="18">
        <v>0.0</v>
      </c>
      <c r="J28" s="30">
        <v>40.0</v>
      </c>
      <c r="K28" s="30">
        <v>13.0</v>
      </c>
      <c r="L28" s="30">
        <v>0.0</v>
      </c>
      <c r="M28" s="30">
        <v>3.0</v>
      </c>
      <c r="N28" s="15">
        <v>0.0</v>
      </c>
      <c r="O28" s="18">
        <v>0.0</v>
      </c>
      <c r="P28" s="14"/>
      <c r="Q28" s="14"/>
    </row>
    <row r="29" ht="13.5" customHeight="1">
      <c r="A29" s="30" t="s">
        <v>33</v>
      </c>
      <c r="B29" s="18">
        <f t="shared" si="5"/>
        <v>77</v>
      </c>
      <c r="C29" s="18">
        <f t="shared" si="6"/>
        <v>119</v>
      </c>
      <c r="D29" s="30">
        <v>44.0</v>
      </c>
      <c r="E29" s="30">
        <v>20.0</v>
      </c>
      <c r="F29" s="30">
        <v>2.0</v>
      </c>
      <c r="G29" s="30">
        <v>11.0</v>
      </c>
      <c r="H29" s="18">
        <v>0.0</v>
      </c>
      <c r="I29" s="18">
        <v>0.0</v>
      </c>
      <c r="J29" s="30">
        <v>64.0</v>
      </c>
      <c r="K29" s="30">
        <v>36.0</v>
      </c>
      <c r="L29" s="30">
        <v>4.0</v>
      </c>
      <c r="M29" s="30">
        <v>15.0</v>
      </c>
      <c r="N29" s="15">
        <v>0.0</v>
      </c>
      <c r="O29" s="18">
        <v>0.0</v>
      </c>
    </row>
    <row r="30" ht="13.5" customHeight="1">
      <c r="A30" s="16">
        <v>3795.0</v>
      </c>
      <c r="B30" s="17">
        <f t="shared" si="5"/>
        <v>94</v>
      </c>
      <c r="C30" s="17">
        <f t="shared" si="6"/>
        <v>149</v>
      </c>
      <c r="D30" s="17">
        <f t="shared" ref="D30:O30" si="7">SUM(D31:D32)</f>
        <v>35</v>
      </c>
      <c r="E30" s="17">
        <f t="shared" si="7"/>
        <v>22</v>
      </c>
      <c r="F30" s="17">
        <f t="shared" si="7"/>
        <v>13</v>
      </c>
      <c r="G30" s="17">
        <f t="shared" si="7"/>
        <v>24</v>
      </c>
      <c r="H30" s="17">
        <f t="shared" si="7"/>
        <v>0</v>
      </c>
      <c r="I30" s="17">
        <f t="shared" si="7"/>
        <v>0</v>
      </c>
      <c r="J30" s="17">
        <f t="shared" si="7"/>
        <v>52</v>
      </c>
      <c r="K30" s="17">
        <f t="shared" si="7"/>
        <v>39</v>
      </c>
      <c r="L30" s="17">
        <f t="shared" si="7"/>
        <v>23</v>
      </c>
      <c r="M30" s="17">
        <f t="shared" si="7"/>
        <v>35</v>
      </c>
      <c r="N30" s="17">
        <f t="shared" si="7"/>
        <v>0</v>
      </c>
      <c r="O30" s="17">
        <f t="shared" si="7"/>
        <v>0</v>
      </c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ht="13.5" customHeight="1">
      <c r="A31" s="30" t="s">
        <v>34</v>
      </c>
      <c r="B31" s="18">
        <f t="shared" si="5"/>
        <v>25</v>
      </c>
      <c r="C31" s="18">
        <f t="shared" si="6"/>
        <v>40</v>
      </c>
      <c r="D31" s="30">
        <v>11.0</v>
      </c>
      <c r="E31" s="30">
        <v>7.0</v>
      </c>
      <c r="F31" s="30">
        <v>4.0</v>
      </c>
      <c r="G31" s="30">
        <v>3.0</v>
      </c>
      <c r="H31" s="18">
        <v>0.0</v>
      </c>
      <c r="I31" s="18">
        <v>0.0</v>
      </c>
      <c r="J31" s="30">
        <v>14.0</v>
      </c>
      <c r="K31" s="30">
        <v>14.0</v>
      </c>
      <c r="L31" s="30">
        <v>7.0</v>
      </c>
      <c r="M31" s="30">
        <v>5.0</v>
      </c>
      <c r="N31" s="15">
        <v>0.0</v>
      </c>
      <c r="O31" s="18">
        <v>0.0</v>
      </c>
    </row>
    <row r="32" ht="13.5" customHeight="1">
      <c r="A32" s="30" t="s">
        <v>35</v>
      </c>
      <c r="B32" s="18">
        <f t="shared" si="5"/>
        <v>69</v>
      </c>
      <c r="C32" s="18">
        <f t="shared" si="6"/>
        <v>109</v>
      </c>
      <c r="D32" s="30">
        <v>24.0</v>
      </c>
      <c r="E32" s="30">
        <v>15.0</v>
      </c>
      <c r="F32" s="30">
        <v>9.0</v>
      </c>
      <c r="G32" s="30">
        <v>21.0</v>
      </c>
      <c r="H32" s="18">
        <v>0.0</v>
      </c>
      <c r="I32" s="18">
        <v>0.0</v>
      </c>
      <c r="J32" s="30">
        <v>38.0</v>
      </c>
      <c r="K32" s="30">
        <v>25.0</v>
      </c>
      <c r="L32" s="30">
        <v>16.0</v>
      </c>
      <c r="M32" s="30">
        <v>30.0</v>
      </c>
      <c r="N32" s="15">
        <v>0.0</v>
      </c>
      <c r="O32" s="18">
        <v>0.0</v>
      </c>
      <c r="R32" s="14"/>
      <c r="S32" s="14"/>
      <c r="T32" s="14"/>
      <c r="U32" s="14"/>
      <c r="V32" s="14"/>
      <c r="W32" s="14"/>
      <c r="X32" s="14"/>
      <c r="Y32" s="14"/>
    </row>
    <row r="33" ht="13.5" customHeight="1">
      <c r="A33" s="16">
        <v>3791.0</v>
      </c>
      <c r="B33" s="17">
        <f t="shared" si="5"/>
        <v>253</v>
      </c>
      <c r="C33" s="17">
        <f t="shared" si="6"/>
        <v>313</v>
      </c>
      <c r="D33" s="17">
        <f t="shared" ref="D33:O33" si="8">SUM(D34:D36)</f>
        <v>110</v>
      </c>
      <c r="E33" s="17">
        <f t="shared" si="8"/>
        <v>89</v>
      </c>
      <c r="F33" s="17">
        <f t="shared" si="8"/>
        <v>17</v>
      </c>
      <c r="G33" s="17">
        <f t="shared" si="8"/>
        <v>37</v>
      </c>
      <c r="H33" s="17">
        <f t="shared" si="8"/>
        <v>0</v>
      </c>
      <c r="I33" s="17">
        <f t="shared" si="8"/>
        <v>0</v>
      </c>
      <c r="J33" s="17">
        <f t="shared" si="8"/>
        <v>145</v>
      </c>
      <c r="K33" s="17">
        <f t="shared" si="8"/>
        <v>108</v>
      </c>
      <c r="L33" s="17">
        <f t="shared" si="8"/>
        <v>19</v>
      </c>
      <c r="M33" s="17">
        <f t="shared" si="8"/>
        <v>41</v>
      </c>
      <c r="N33" s="17">
        <f t="shared" si="8"/>
        <v>0</v>
      </c>
      <c r="O33" s="17">
        <f t="shared" si="8"/>
        <v>0</v>
      </c>
    </row>
    <row r="34" ht="13.5" customHeight="1">
      <c r="A34" s="30" t="s">
        <v>64</v>
      </c>
      <c r="B34" s="15">
        <f t="shared" si="5"/>
        <v>150</v>
      </c>
      <c r="C34" s="18">
        <f t="shared" si="6"/>
        <v>150</v>
      </c>
      <c r="D34" s="30">
        <v>54.0</v>
      </c>
      <c r="E34" s="30">
        <v>59.0</v>
      </c>
      <c r="F34" s="30">
        <v>11.0</v>
      </c>
      <c r="G34" s="30">
        <v>26.0</v>
      </c>
      <c r="H34" s="18">
        <v>0.0</v>
      </c>
      <c r="I34" s="18">
        <v>0.0</v>
      </c>
      <c r="J34" s="30">
        <v>54.0</v>
      </c>
      <c r="K34" s="30">
        <v>59.0</v>
      </c>
      <c r="L34" s="30">
        <v>11.0</v>
      </c>
      <c r="M34" s="30">
        <v>26.0</v>
      </c>
      <c r="N34" s="15">
        <v>0.0</v>
      </c>
      <c r="O34" s="18">
        <v>0.0</v>
      </c>
      <c r="P34" s="14"/>
      <c r="Q34" s="14"/>
    </row>
    <row r="35" ht="13.5" customHeight="1">
      <c r="A35" s="30" t="s">
        <v>36</v>
      </c>
      <c r="B35" s="15">
        <f t="shared" si="5"/>
        <v>66</v>
      </c>
      <c r="C35" s="18">
        <f t="shared" si="6"/>
        <v>105</v>
      </c>
      <c r="D35" s="30">
        <v>36.0</v>
      </c>
      <c r="E35" s="30">
        <v>19.0</v>
      </c>
      <c r="F35" s="30">
        <v>4.0</v>
      </c>
      <c r="G35" s="30">
        <v>7.0</v>
      </c>
      <c r="H35" s="18">
        <v>0.0</v>
      </c>
      <c r="I35" s="18">
        <v>0.0</v>
      </c>
      <c r="J35" s="30">
        <v>59.0</v>
      </c>
      <c r="K35" s="30">
        <v>32.0</v>
      </c>
      <c r="L35" s="30">
        <v>5.0</v>
      </c>
      <c r="M35" s="30">
        <v>9.0</v>
      </c>
      <c r="N35" s="15">
        <v>0.0</v>
      </c>
      <c r="O35" s="18">
        <v>0.0</v>
      </c>
    </row>
    <row r="36" ht="13.5" customHeight="1">
      <c r="A36" s="30" t="s">
        <v>37</v>
      </c>
      <c r="B36" s="15">
        <f t="shared" si="5"/>
        <v>37</v>
      </c>
      <c r="C36" s="18">
        <f t="shared" si="6"/>
        <v>58</v>
      </c>
      <c r="D36" s="30">
        <v>20.0</v>
      </c>
      <c r="E36" s="30">
        <v>11.0</v>
      </c>
      <c r="F36" s="30">
        <v>2.0</v>
      </c>
      <c r="G36" s="30">
        <v>4.0</v>
      </c>
      <c r="H36" s="18">
        <v>0.0</v>
      </c>
      <c r="I36" s="18">
        <v>0.0</v>
      </c>
      <c r="J36" s="30">
        <v>32.0</v>
      </c>
      <c r="K36" s="30">
        <v>17.0</v>
      </c>
      <c r="L36" s="30">
        <v>3.0</v>
      </c>
      <c r="M36" s="30">
        <v>6.0</v>
      </c>
      <c r="N36" s="15">
        <v>0.0</v>
      </c>
      <c r="O36" s="18">
        <v>0.0</v>
      </c>
    </row>
    <row r="37" ht="13.5" customHeight="1">
      <c r="A37" s="19" t="s">
        <v>39</v>
      </c>
      <c r="B37" s="20">
        <f t="shared" ref="B37:H37" si="9">B4+B26+B30+B33</f>
        <v>1510</v>
      </c>
      <c r="C37" s="20">
        <f t="shared" si="9"/>
        <v>2105</v>
      </c>
      <c r="D37" s="20">
        <f t="shared" si="9"/>
        <v>839</v>
      </c>
      <c r="E37" s="20">
        <f t="shared" si="9"/>
        <v>431</v>
      </c>
      <c r="F37" s="20">
        <f t="shared" si="9"/>
        <v>82</v>
      </c>
      <c r="G37" s="20">
        <f t="shared" si="9"/>
        <v>155</v>
      </c>
      <c r="H37" s="20">
        <f t="shared" si="9"/>
        <v>3</v>
      </c>
      <c r="I37" s="20"/>
      <c r="J37" s="20">
        <f t="shared" ref="J37:M37" si="10">J4+J26+J30+J33</f>
        <v>1158</v>
      </c>
      <c r="K37" s="20">
        <f t="shared" si="10"/>
        <v>628</v>
      </c>
      <c r="L37" s="20">
        <f t="shared" si="10"/>
        <v>124</v>
      </c>
      <c r="M37" s="20">
        <f t="shared" si="10"/>
        <v>191</v>
      </c>
      <c r="N37" s="20"/>
      <c r="O37" s="20">
        <f>O4+O26+O30+O33</f>
        <v>0</v>
      </c>
    </row>
    <row r="38" ht="13.5" customHeight="1">
      <c r="R38" s="14"/>
      <c r="S38" s="14"/>
      <c r="T38" s="14"/>
      <c r="U38" s="14"/>
      <c r="V38" s="14"/>
      <c r="W38" s="14"/>
      <c r="X38" s="14"/>
      <c r="Y38" s="14"/>
    </row>
    <row r="39" ht="13.5" customHeight="1">
      <c r="A39" s="21" t="s">
        <v>40</v>
      </c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3"/>
    </row>
    <row r="40" ht="13.5" customHeight="1">
      <c r="A40" s="24" t="s">
        <v>41</v>
      </c>
      <c r="B40" s="29" t="s">
        <v>6</v>
      </c>
      <c r="C40" s="8"/>
      <c r="D40" s="29" t="s">
        <v>7</v>
      </c>
      <c r="E40" s="8"/>
      <c r="F40" s="29" t="s">
        <v>8</v>
      </c>
      <c r="G40" s="8"/>
      <c r="H40" s="29" t="s">
        <v>9</v>
      </c>
      <c r="I40" s="8"/>
      <c r="J40" s="29" t="s">
        <v>55</v>
      </c>
      <c r="K40" s="8"/>
      <c r="L40" s="25" t="s">
        <v>56</v>
      </c>
      <c r="M40" s="25" t="s">
        <v>57</v>
      </c>
    </row>
    <row r="41" ht="13.5" customHeight="1">
      <c r="A41" s="11"/>
      <c r="B41" s="25" t="s">
        <v>45</v>
      </c>
      <c r="C41" s="25" t="s">
        <v>46</v>
      </c>
      <c r="D41" s="25" t="s">
        <v>45</v>
      </c>
      <c r="E41" s="25" t="s">
        <v>46</v>
      </c>
      <c r="F41" s="25" t="s">
        <v>45</v>
      </c>
      <c r="G41" s="25" t="s">
        <v>46</v>
      </c>
      <c r="H41" s="25" t="s">
        <v>45</v>
      </c>
      <c r="I41" s="25" t="s">
        <v>46</v>
      </c>
      <c r="J41" s="25" t="s">
        <v>58</v>
      </c>
      <c r="K41" s="25" t="s">
        <v>46</v>
      </c>
      <c r="L41" s="25"/>
      <c r="M41" s="25"/>
    </row>
    <row r="42" ht="13.5" customHeight="1">
      <c r="A42" s="27" t="s">
        <v>47</v>
      </c>
      <c r="B42" s="27">
        <v>618.0</v>
      </c>
      <c r="C42" s="27">
        <v>990.0</v>
      </c>
      <c r="D42" s="27">
        <v>304.0</v>
      </c>
      <c r="E42" s="27">
        <v>513.0</v>
      </c>
      <c r="F42" s="27">
        <v>64.0</v>
      </c>
      <c r="G42" s="27">
        <v>113.0</v>
      </c>
      <c r="H42" s="27">
        <v>114.0</v>
      </c>
      <c r="I42" s="27">
        <v>167.0</v>
      </c>
      <c r="J42" s="27">
        <v>2.0</v>
      </c>
      <c r="K42" s="27">
        <v>3.0</v>
      </c>
      <c r="L42" s="27">
        <f t="shared" ref="L42:M42" si="11">SUM(B42+D42+F42+H42+J42)</f>
        <v>1102</v>
      </c>
      <c r="M42" s="27">
        <f t="shared" si="11"/>
        <v>1786</v>
      </c>
    </row>
    <row r="43" ht="15.0" customHeight="1">
      <c r="A43" s="27" t="s">
        <v>65</v>
      </c>
      <c r="B43" s="27">
        <v>54.0</v>
      </c>
      <c r="C43" s="27">
        <v>54.0</v>
      </c>
      <c r="D43" s="27">
        <v>59.0</v>
      </c>
      <c r="E43" s="27">
        <v>59.0</v>
      </c>
      <c r="F43" s="27">
        <v>11.0</v>
      </c>
      <c r="G43" s="27">
        <v>11.0</v>
      </c>
      <c r="H43" s="27">
        <v>26.0</v>
      </c>
      <c r="I43" s="27">
        <v>26.0</v>
      </c>
      <c r="J43" s="27">
        <v>0.0</v>
      </c>
      <c r="K43" s="27">
        <v>0.0</v>
      </c>
      <c r="L43" s="27">
        <f t="shared" ref="L43:M43" si="12">SUM(B43+D43+F43+H43+J43)</f>
        <v>150</v>
      </c>
      <c r="M43" s="27">
        <f t="shared" si="12"/>
        <v>150</v>
      </c>
    </row>
    <row r="44" ht="15.0" customHeight="1">
      <c r="A44" s="27" t="s">
        <v>66</v>
      </c>
      <c r="B44" s="27">
        <v>114.0</v>
      </c>
      <c r="C44" s="27">
        <v>114.0</v>
      </c>
      <c r="D44" s="27">
        <v>47.0</v>
      </c>
      <c r="E44" s="27">
        <v>47.0</v>
      </c>
      <c r="F44" s="27">
        <v>7.0</v>
      </c>
      <c r="G44" s="27">
        <v>7.0</v>
      </c>
      <c r="H44" s="27">
        <v>0.0</v>
      </c>
      <c r="I44" s="27">
        <v>0.0</v>
      </c>
      <c r="J44" s="27">
        <v>1.0</v>
      </c>
      <c r="K44" s="27">
        <v>1.0</v>
      </c>
      <c r="L44" s="27">
        <f t="shared" ref="L44:M44" si="13">SUM(B44+D44+F44+H44+J44)</f>
        <v>169</v>
      </c>
      <c r="M44" s="27">
        <f t="shared" si="13"/>
        <v>169</v>
      </c>
    </row>
    <row r="45" ht="13.5" customHeight="1">
      <c r="A45" s="28" t="s">
        <v>49</v>
      </c>
      <c r="B45" s="28">
        <f t="shared" ref="B45:M45" si="14">SUM(B42:B44)</f>
        <v>786</v>
      </c>
      <c r="C45" s="28">
        <f t="shared" si="14"/>
        <v>1158</v>
      </c>
      <c r="D45" s="28">
        <f t="shared" si="14"/>
        <v>410</v>
      </c>
      <c r="E45" s="28">
        <f t="shared" si="14"/>
        <v>619</v>
      </c>
      <c r="F45" s="28">
        <f t="shared" si="14"/>
        <v>82</v>
      </c>
      <c r="G45" s="28">
        <f t="shared" si="14"/>
        <v>131</v>
      </c>
      <c r="H45" s="28">
        <f t="shared" si="14"/>
        <v>140</v>
      </c>
      <c r="I45" s="28">
        <f t="shared" si="14"/>
        <v>193</v>
      </c>
      <c r="J45" s="28">
        <f t="shared" si="14"/>
        <v>3</v>
      </c>
      <c r="K45" s="28">
        <f t="shared" si="14"/>
        <v>4</v>
      </c>
      <c r="L45" s="28">
        <f t="shared" si="14"/>
        <v>1421</v>
      </c>
      <c r="M45" s="28">
        <f t="shared" si="14"/>
        <v>2105</v>
      </c>
    </row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13">
    <mergeCell ref="A40:A41"/>
    <mergeCell ref="B40:C40"/>
    <mergeCell ref="D40:E40"/>
    <mergeCell ref="F40:G40"/>
    <mergeCell ref="H40:I40"/>
    <mergeCell ref="J40:K40"/>
    <mergeCell ref="A1:O1"/>
    <mergeCell ref="A2:A3"/>
    <mergeCell ref="B2:B3"/>
    <mergeCell ref="C2:C3"/>
    <mergeCell ref="D2:I2"/>
    <mergeCell ref="J2:O2"/>
    <mergeCell ref="A39:O39"/>
  </mergeCells>
  <printOptions/>
  <pageMargins bottom="0.984027777777778" footer="0.0" header="0.0" left="0.747916666666667" right="0.747916666666667" top="0.984027777777778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60.29"/>
    <col customWidth="1" min="2" max="2" width="10.57"/>
    <col customWidth="1" min="3" max="3" width="12.43"/>
    <col customWidth="1" min="4" max="4" width="10.29"/>
    <col customWidth="1" min="5" max="5" width="7.43"/>
    <col customWidth="1" min="6" max="6" width="10.71"/>
    <col customWidth="1" min="7" max="7" width="6.86"/>
    <col customWidth="1" min="8" max="8" width="10.57"/>
    <col customWidth="1" min="9" max="11" width="7.71"/>
    <col customWidth="1" min="12" max="12" width="9.71"/>
    <col customWidth="1" min="13" max="13" width="8.86"/>
    <col customWidth="1" min="14" max="14" width="9.86"/>
    <col customWidth="1" min="15" max="16" width="9.57"/>
    <col customWidth="1" min="17" max="26" width="15.29"/>
  </cols>
  <sheetData>
    <row r="1" ht="13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5.0" customHeight="1">
      <c r="A2" s="4" t="s">
        <v>1</v>
      </c>
      <c r="B2" s="5" t="s">
        <v>67</v>
      </c>
      <c r="C2" s="5" t="s">
        <v>68</v>
      </c>
      <c r="D2" s="6" t="s">
        <v>4</v>
      </c>
      <c r="E2" s="7"/>
      <c r="F2" s="7"/>
      <c r="G2" s="7"/>
      <c r="H2" s="7"/>
      <c r="I2" s="8"/>
      <c r="J2" s="6" t="s">
        <v>5</v>
      </c>
      <c r="K2" s="7"/>
      <c r="L2" s="7"/>
      <c r="M2" s="7"/>
      <c r="N2" s="7"/>
      <c r="O2" s="8"/>
    </row>
    <row r="3" ht="33.0" customHeight="1">
      <c r="A3" s="9"/>
      <c r="B3" s="10"/>
      <c r="C3" s="11"/>
      <c r="D3" s="12" t="s">
        <v>6</v>
      </c>
      <c r="E3" s="12" t="s">
        <v>7</v>
      </c>
      <c r="F3" s="12" t="s">
        <v>8</v>
      </c>
      <c r="G3" s="12" t="s">
        <v>9</v>
      </c>
      <c r="H3" s="12" t="s">
        <v>10</v>
      </c>
      <c r="I3" s="12" t="s">
        <v>52</v>
      </c>
      <c r="J3" s="12" t="s">
        <v>6</v>
      </c>
      <c r="K3" s="12" t="s">
        <v>7</v>
      </c>
      <c r="L3" s="12" t="s">
        <v>8</v>
      </c>
      <c r="M3" s="12" t="s">
        <v>9</v>
      </c>
      <c r="N3" s="12" t="s">
        <v>10</v>
      </c>
      <c r="O3" s="12" t="s">
        <v>52</v>
      </c>
    </row>
    <row r="4" ht="13.5" customHeight="1">
      <c r="A4" s="13">
        <v>3792.0</v>
      </c>
      <c r="B4" s="13">
        <f>SUM(D4:I4)</f>
        <v>809</v>
      </c>
      <c r="C4" s="13">
        <f t="shared" ref="C4:C25" si="2">SUM(J4:O4)</f>
        <v>1216</v>
      </c>
      <c r="D4" s="13">
        <f t="shared" ref="D4:O4" si="1">SUM(D5:D25)</f>
        <v>478</v>
      </c>
      <c r="E4" s="13">
        <f t="shared" si="1"/>
        <v>236</v>
      </c>
      <c r="F4" s="13">
        <f t="shared" si="1"/>
        <v>44</v>
      </c>
      <c r="G4" s="13">
        <f t="shared" si="1"/>
        <v>47</v>
      </c>
      <c r="H4" s="13">
        <f t="shared" si="1"/>
        <v>4</v>
      </c>
      <c r="I4" s="13">
        <f t="shared" si="1"/>
        <v>0</v>
      </c>
      <c r="J4" s="13">
        <f t="shared" si="1"/>
        <v>706</v>
      </c>
      <c r="K4" s="13">
        <f t="shared" si="1"/>
        <v>369</v>
      </c>
      <c r="L4" s="13">
        <f t="shared" si="1"/>
        <v>71</v>
      </c>
      <c r="M4" s="13">
        <f t="shared" si="1"/>
        <v>65</v>
      </c>
      <c r="N4" s="13">
        <f t="shared" si="1"/>
        <v>5</v>
      </c>
      <c r="O4" s="13">
        <f t="shared" si="1"/>
        <v>0</v>
      </c>
      <c r="P4" s="14"/>
      <c r="Q4" s="14"/>
      <c r="R4" s="14"/>
      <c r="S4" s="14"/>
      <c r="T4" s="14"/>
      <c r="U4" s="14"/>
      <c r="V4" s="14"/>
      <c r="W4" s="14"/>
      <c r="X4" s="14"/>
    </row>
    <row r="5" ht="13.5" customHeight="1">
      <c r="A5" s="30" t="s">
        <v>11</v>
      </c>
      <c r="B5" s="30">
        <f t="shared" ref="B5:B25" si="3">SUM(D5:H5)</f>
        <v>2</v>
      </c>
      <c r="C5" s="30">
        <f t="shared" si="2"/>
        <v>3</v>
      </c>
      <c r="D5" s="30">
        <v>0.0</v>
      </c>
      <c r="E5" s="30">
        <v>0.0</v>
      </c>
      <c r="F5" s="30">
        <v>0.0</v>
      </c>
      <c r="G5" s="30">
        <v>0.0</v>
      </c>
      <c r="H5" s="30">
        <v>2.0</v>
      </c>
      <c r="I5" s="30">
        <v>0.0</v>
      </c>
      <c r="J5" s="30">
        <v>0.0</v>
      </c>
      <c r="K5" s="30">
        <v>0.0</v>
      </c>
      <c r="L5" s="30">
        <v>0.0</v>
      </c>
      <c r="M5" s="30">
        <v>0.0</v>
      </c>
      <c r="N5" s="30">
        <v>3.0</v>
      </c>
      <c r="O5" s="30">
        <v>0.0</v>
      </c>
    </row>
    <row r="6" ht="13.5" customHeight="1">
      <c r="A6" s="30" t="s">
        <v>69</v>
      </c>
      <c r="B6" s="30">
        <f t="shared" si="3"/>
        <v>34</v>
      </c>
      <c r="C6" s="30">
        <f t="shared" si="2"/>
        <v>34</v>
      </c>
      <c r="D6" s="30">
        <v>25.0</v>
      </c>
      <c r="E6" s="30">
        <v>2.0</v>
      </c>
      <c r="F6" s="30">
        <v>0.0</v>
      </c>
      <c r="G6" s="30">
        <v>7.0</v>
      </c>
      <c r="H6" s="30">
        <v>0.0</v>
      </c>
      <c r="I6" s="30">
        <v>0.0</v>
      </c>
      <c r="J6" s="30">
        <v>25.0</v>
      </c>
      <c r="K6" s="30">
        <v>2.0</v>
      </c>
      <c r="L6" s="30">
        <v>0.0</v>
      </c>
      <c r="M6" s="30">
        <v>7.0</v>
      </c>
      <c r="N6" s="30">
        <v>0.0</v>
      </c>
      <c r="O6" s="30">
        <v>0.0</v>
      </c>
    </row>
    <row r="7" ht="13.5" customHeight="1">
      <c r="A7" s="30" t="s">
        <v>13</v>
      </c>
      <c r="B7" s="30">
        <f t="shared" si="3"/>
        <v>36</v>
      </c>
      <c r="C7" s="30">
        <f t="shared" si="2"/>
        <v>56</v>
      </c>
      <c r="D7" s="30">
        <v>23.0</v>
      </c>
      <c r="E7" s="30">
        <v>13.0</v>
      </c>
      <c r="F7" s="30">
        <v>0.0</v>
      </c>
      <c r="G7" s="30">
        <v>0.0</v>
      </c>
      <c r="H7" s="30">
        <v>0.0</v>
      </c>
      <c r="I7" s="30">
        <v>0.0</v>
      </c>
      <c r="J7" s="30">
        <v>33.0</v>
      </c>
      <c r="K7" s="30">
        <v>23.0</v>
      </c>
      <c r="L7" s="30">
        <v>0.0</v>
      </c>
      <c r="M7" s="30">
        <v>0.0</v>
      </c>
      <c r="N7" s="30">
        <v>0.0</v>
      </c>
      <c r="O7" s="30">
        <v>0.0</v>
      </c>
    </row>
    <row r="8" ht="13.5" customHeight="1">
      <c r="A8" s="30" t="s">
        <v>62</v>
      </c>
      <c r="B8" s="30">
        <f t="shared" si="3"/>
        <v>1</v>
      </c>
      <c r="C8" s="30">
        <f t="shared" si="2"/>
        <v>1</v>
      </c>
      <c r="D8" s="30">
        <v>0.0</v>
      </c>
      <c r="E8" s="30">
        <v>0.0</v>
      </c>
      <c r="F8" s="30">
        <v>0.0</v>
      </c>
      <c r="G8" s="30">
        <v>1.0</v>
      </c>
      <c r="H8" s="30">
        <v>0.0</v>
      </c>
      <c r="I8" s="30">
        <v>0.0</v>
      </c>
      <c r="J8" s="30">
        <v>0.0</v>
      </c>
      <c r="K8" s="30">
        <v>0.0</v>
      </c>
      <c r="L8" s="30">
        <v>0.0</v>
      </c>
      <c r="M8" s="30">
        <v>1.0</v>
      </c>
      <c r="N8" s="30">
        <v>0.0</v>
      </c>
      <c r="O8" s="30">
        <v>0.0</v>
      </c>
    </row>
    <row r="9" ht="13.5" customHeight="1">
      <c r="A9" s="30" t="s">
        <v>14</v>
      </c>
      <c r="B9" s="30">
        <f t="shared" si="3"/>
        <v>77</v>
      </c>
      <c r="C9" s="30">
        <f t="shared" si="2"/>
        <v>119</v>
      </c>
      <c r="D9" s="30">
        <v>40.0</v>
      </c>
      <c r="E9" s="30">
        <v>33.0</v>
      </c>
      <c r="F9" s="30">
        <v>4.0</v>
      </c>
      <c r="G9" s="30">
        <v>0.0</v>
      </c>
      <c r="H9" s="30">
        <v>0.0</v>
      </c>
      <c r="I9" s="30">
        <v>0.0</v>
      </c>
      <c r="J9" s="30">
        <v>60.0</v>
      </c>
      <c r="K9" s="30">
        <v>54.0</v>
      </c>
      <c r="L9" s="30">
        <v>5.0</v>
      </c>
      <c r="M9" s="30">
        <v>0.0</v>
      </c>
      <c r="N9" s="30">
        <v>0.0</v>
      </c>
      <c r="O9" s="30">
        <v>0.0</v>
      </c>
    </row>
    <row r="10" ht="13.5" customHeight="1">
      <c r="A10" s="30" t="s">
        <v>15</v>
      </c>
      <c r="B10" s="30">
        <f t="shared" si="3"/>
        <v>9</v>
      </c>
      <c r="C10" s="30">
        <f t="shared" si="2"/>
        <v>13</v>
      </c>
      <c r="D10" s="30">
        <v>7.0</v>
      </c>
      <c r="E10" s="30">
        <v>1.0</v>
      </c>
      <c r="F10" s="30">
        <v>1.0</v>
      </c>
      <c r="G10" s="30">
        <v>0.0</v>
      </c>
      <c r="H10" s="30">
        <v>0.0</v>
      </c>
      <c r="I10" s="30">
        <v>0.0</v>
      </c>
      <c r="J10" s="30">
        <v>9.0</v>
      </c>
      <c r="K10" s="30">
        <v>2.0</v>
      </c>
      <c r="L10" s="30">
        <v>2.0</v>
      </c>
      <c r="M10" s="30">
        <v>0.0</v>
      </c>
      <c r="N10" s="30">
        <v>0.0</v>
      </c>
      <c r="O10" s="30">
        <v>0.0</v>
      </c>
    </row>
    <row r="11" ht="13.5" customHeight="1">
      <c r="A11" s="30" t="s">
        <v>16</v>
      </c>
      <c r="B11" s="30">
        <f t="shared" si="3"/>
        <v>13</v>
      </c>
      <c r="C11" s="30">
        <f t="shared" si="2"/>
        <v>21</v>
      </c>
      <c r="D11" s="30">
        <v>9.0</v>
      </c>
      <c r="E11" s="30">
        <v>3.0</v>
      </c>
      <c r="F11" s="30">
        <v>1.0</v>
      </c>
      <c r="G11" s="30">
        <v>0.0</v>
      </c>
      <c r="H11" s="30">
        <v>0.0</v>
      </c>
      <c r="I11" s="30">
        <v>0.0</v>
      </c>
      <c r="J11" s="30">
        <v>13.0</v>
      </c>
      <c r="K11" s="30">
        <v>6.0</v>
      </c>
      <c r="L11" s="30">
        <v>2.0</v>
      </c>
      <c r="M11" s="30">
        <v>0.0</v>
      </c>
      <c r="N11" s="30">
        <v>0.0</v>
      </c>
      <c r="O11" s="30">
        <v>0.0</v>
      </c>
    </row>
    <row r="12" ht="13.5" customHeight="1">
      <c r="A12" s="30" t="s">
        <v>70</v>
      </c>
      <c r="B12" s="30">
        <f t="shared" si="3"/>
        <v>12</v>
      </c>
      <c r="C12" s="30">
        <f t="shared" si="2"/>
        <v>12</v>
      </c>
      <c r="D12" s="30">
        <v>9.0</v>
      </c>
      <c r="E12" s="30">
        <v>0.0</v>
      </c>
      <c r="F12" s="30">
        <v>3.0</v>
      </c>
      <c r="G12" s="30">
        <v>0.0</v>
      </c>
      <c r="H12" s="30">
        <v>0.0</v>
      </c>
      <c r="I12" s="30">
        <v>0.0</v>
      </c>
      <c r="J12" s="30">
        <v>9.0</v>
      </c>
      <c r="K12" s="30">
        <v>0.0</v>
      </c>
      <c r="L12" s="30">
        <v>3.0</v>
      </c>
      <c r="M12" s="30">
        <v>0.0</v>
      </c>
      <c r="N12" s="30">
        <v>0.0</v>
      </c>
      <c r="O12" s="30">
        <v>0.0</v>
      </c>
    </row>
    <row r="13" ht="13.5" customHeight="1">
      <c r="A13" s="30" t="s">
        <v>17</v>
      </c>
      <c r="B13" s="30">
        <f t="shared" si="3"/>
        <v>28</v>
      </c>
      <c r="C13" s="30">
        <f t="shared" si="2"/>
        <v>42</v>
      </c>
      <c r="D13" s="30">
        <v>17.0</v>
      </c>
      <c r="E13" s="30">
        <v>11.0</v>
      </c>
      <c r="F13" s="30">
        <v>0.0</v>
      </c>
      <c r="G13" s="30">
        <v>0.0</v>
      </c>
      <c r="H13" s="30">
        <v>0.0</v>
      </c>
      <c r="I13" s="30">
        <v>0.0</v>
      </c>
      <c r="J13" s="30">
        <v>25.0</v>
      </c>
      <c r="K13" s="30">
        <v>17.0</v>
      </c>
      <c r="L13" s="30">
        <v>0.0</v>
      </c>
      <c r="M13" s="30">
        <v>0.0</v>
      </c>
      <c r="N13" s="30">
        <v>0.0</v>
      </c>
      <c r="O13" s="30">
        <v>0.0</v>
      </c>
    </row>
    <row r="14" ht="13.5" customHeight="1">
      <c r="A14" s="30" t="s">
        <v>53</v>
      </c>
      <c r="B14" s="30">
        <f t="shared" si="3"/>
        <v>1</v>
      </c>
      <c r="C14" s="30">
        <f t="shared" si="2"/>
        <v>1</v>
      </c>
      <c r="D14" s="30">
        <v>0.0</v>
      </c>
      <c r="E14" s="30">
        <v>0.0</v>
      </c>
      <c r="F14" s="30">
        <v>0.0</v>
      </c>
      <c r="G14" s="30">
        <v>0.0</v>
      </c>
      <c r="H14" s="30">
        <v>1.0</v>
      </c>
      <c r="I14" s="30">
        <v>0.0</v>
      </c>
      <c r="J14" s="30">
        <v>0.0</v>
      </c>
      <c r="K14" s="30">
        <v>0.0</v>
      </c>
      <c r="L14" s="30">
        <v>0.0</v>
      </c>
      <c r="M14" s="30">
        <v>0.0</v>
      </c>
      <c r="N14" s="30">
        <v>1.0</v>
      </c>
      <c r="O14" s="30">
        <v>0.0</v>
      </c>
    </row>
    <row r="15" ht="13.5" customHeight="1">
      <c r="A15" s="30" t="s">
        <v>71</v>
      </c>
      <c r="B15" s="30">
        <f t="shared" si="3"/>
        <v>1</v>
      </c>
      <c r="C15" s="30">
        <f t="shared" si="2"/>
        <v>1</v>
      </c>
      <c r="D15" s="30">
        <v>0.0</v>
      </c>
      <c r="E15" s="30">
        <v>0.0</v>
      </c>
      <c r="F15" s="30">
        <v>0.0</v>
      </c>
      <c r="G15" s="30">
        <v>0.0</v>
      </c>
      <c r="H15" s="30">
        <v>1.0</v>
      </c>
      <c r="I15" s="30">
        <v>0.0</v>
      </c>
      <c r="J15" s="30">
        <v>0.0</v>
      </c>
      <c r="K15" s="30">
        <v>0.0</v>
      </c>
      <c r="L15" s="30">
        <v>0.0</v>
      </c>
      <c r="M15" s="30">
        <v>0.0</v>
      </c>
      <c r="N15" s="30">
        <v>1.0</v>
      </c>
      <c r="O15" s="30">
        <v>0.0</v>
      </c>
    </row>
    <row r="16" ht="13.5" customHeight="1">
      <c r="A16" s="30" t="s">
        <v>20</v>
      </c>
      <c r="B16" s="30">
        <f t="shared" si="3"/>
        <v>74</v>
      </c>
      <c r="C16" s="30">
        <f t="shared" si="2"/>
        <v>103</v>
      </c>
      <c r="D16" s="30">
        <v>46.0</v>
      </c>
      <c r="E16" s="30">
        <v>16.0</v>
      </c>
      <c r="F16" s="30">
        <v>8.0</v>
      </c>
      <c r="G16" s="30">
        <v>4.0</v>
      </c>
      <c r="H16" s="30">
        <v>0.0</v>
      </c>
      <c r="I16" s="30">
        <v>0.0</v>
      </c>
      <c r="J16" s="30">
        <v>65.0</v>
      </c>
      <c r="K16" s="30">
        <v>21.0</v>
      </c>
      <c r="L16" s="30">
        <v>12.0</v>
      </c>
      <c r="M16" s="30">
        <v>5.0</v>
      </c>
      <c r="N16" s="30">
        <v>0.0</v>
      </c>
      <c r="O16" s="30">
        <v>0.0</v>
      </c>
    </row>
    <row r="17" ht="13.5" customHeight="1">
      <c r="A17" s="30" t="s">
        <v>21</v>
      </c>
      <c r="B17" s="30">
        <f t="shared" si="3"/>
        <v>42</v>
      </c>
      <c r="C17" s="30">
        <f t="shared" si="2"/>
        <v>65</v>
      </c>
      <c r="D17" s="30">
        <v>25.0</v>
      </c>
      <c r="E17" s="30">
        <v>8.0</v>
      </c>
      <c r="F17" s="30">
        <v>3.0</v>
      </c>
      <c r="G17" s="30">
        <v>6.0</v>
      </c>
      <c r="H17" s="30">
        <v>0.0</v>
      </c>
      <c r="I17" s="30">
        <v>0.0</v>
      </c>
      <c r="J17" s="30">
        <v>40.0</v>
      </c>
      <c r="K17" s="30">
        <v>13.0</v>
      </c>
      <c r="L17" s="30">
        <v>4.0</v>
      </c>
      <c r="M17" s="30">
        <v>8.0</v>
      </c>
      <c r="N17" s="30">
        <v>0.0</v>
      </c>
      <c r="O17" s="30">
        <v>0.0</v>
      </c>
    </row>
    <row r="18" ht="13.5" customHeight="1">
      <c r="A18" s="30" t="s">
        <v>22</v>
      </c>
      <c r="B18" s="30">
        <f t="shared" si="3"/>
        <v>127</v>
      </c>
      <c r="C18" s="30">
        <f t="shared" si="2"/>
        <v>215</v>
      </c>
      <c r="D18" s="30">
        <v>75.0</v>
      </c>
      <c r="E18" s="30">
        <v>36.0</v>
      </c>
      <c r="F18" s="30">
        <v>8.0</v>
      </c>
      <c r="G18" s="30">
        <v>8.0</v>
      </c>
      <c r="H18" s="30">
        <v>0.0</v>
      </c>
      <c r="I18" s="30">
        <v>0.0</v>
      </c>
      <c r="J18" s="30">
        <v>129.0</v>
      </c>
      <c r="K18" s="30">
        <v>59.0</v>
      </c>
      <c r="L18" s="30">
        <v>15.0</v>
      </c>
      <c r="M18" s="30">
        <v>12.0</v>
      </c>
      <c r="N18" s="30">
        <v>0.0</v>
      </c>
      <c r="O18" s="30">
        <v>0.0</v>
      </c>
    </row>
    <row r="19" ht="13.5" customHeight="1">
      <c r="A19" s="30" t="s">
        <v>23</v>
      </c>
      <c r="B19" s="30">
        <f t="shared" si="3"/>
        <v>11</v>
      </c>
      <c r="C19" s="30">
        <f t="shared" si="2"/>
        <v>23</v>
      </c>
      <c r="D19" s="30">
        <v>2.0</v>
      </c>
      <c r="E19" s="30">
        <v>6.0</v>
      </c>
      <c r="F19" s="30">
        <v>3.0</v>
      </c>
      <c r="G19" s="30">
        <v>0.0</v>
      </c>
      <c r="H19" s="30">
        <v>0.0</v>
      </c>
      <c r="I19" s="30">
        <v>0.0</v>
      </c>
      <c r="J19" s="30">
        <v>4.0</v>
      </c>
      <c r="K19" s="30">
        <v>12.0</v>
      </c>
      <c r="L19" s="30">
        <v>7.0</v>
      </c>
      <c r="M19" s="30">
        <v>0.0</v>
      </c>
      <c r="N19" s="30">
        <v>0.0</v>
      </c>
      <c r="O19" s="30">
        <v>0.0</v>
      </c>
    </row>
    <row r="20" ht="13.5" customHeight="1">
      <c r="A20" s="30" t="s">
        <v>24</v>
      </c>
      <c r="B20" s="30">
        <f t="shared" si="3"/>
        <v>76</v>
      </c>
      <c r="C20" s="30">
        <f t="shared" si="2"/>
        <v>109</v>
      </c>
      <c r="D20" s="30">
        <v>44.0</v>
      </c>
      <c r="E20" s="30">
        <v>25.0</v>
      </c>
      <c r="F20" s="30">
        <v>3.0</v>
      </c>
      <c r="G20" s="30">
        <v>4.0</v>
      </c>
      <c r="H20" s="30">
        <v>0.0</v>
      </c>
      <c r="I20" s="30">
        <v>0.0</v>
      </c>
      <c r="J20" s="30">
        <v>67.0</v>
      </c>
      <c r="K20" s="30">
        <v>32.0</v>
      </c>
      <c r="L20" s="30">
        <v>5.0</v>
      </c>
      <c r="M20" s="30">
        <v>5.0</v>
      </c>
      <c r="N20" s="30">
        <v>0.0</v>
      </c>
      <c r="O20" s="30">
        <v>0.0</v>
      </c>
    </row>
    <row r="21" ht="13.5" customHeight="1">
      <c r="A21" s="30" t="s">
        <v>25</v>
      </c>
      <c r="B21" s="30">
        <f t="shared" si="3"/>
        <v>44</v>
      </c>
      <c r="C21" s="30">
        <f t="shared" si="2"/>
        <v>66</v>
      </c>
      <c r="D21" s="30">
        <v>24.0</v>
      </c>
      <c r="E21" s="30">
        <v>17.0</v>
      </c>
      <c r="F21" s="30">
        <v>2.0</v>
      </c>
      <c r="G21" s="30">
        <v>1.0</v>
      </c>
      <c r="H21" s="30">
        <v>0.0</v>
      </c>
      <c r="I21" s="30">
        <v>0.0</v>
      </c>
      <c r="J21" s="30">
        <v>32.0</v>
      </c>
      <c r="K21" s="30">
        <v>29.0</v>
      </c>
      <c r="L21" s="30">
        <v>3.0</v>
      </c>
      <c r="M21" s="30">
        <v>2.0</v>
      </c>
      <c r="N21" s="30">
        <v>0.0</v>
      </c>
      <c r="O21" s="30">
        <v>0.0</v>
      </c>
    </row>
    <row r="22" ht="13.5" customHeight="1">
      <c r="A22" s="30" t="s">
        <v>26</v>
      </c>
      <c r="B22" s="30">
        <f t="shared" si="3"/>
        <v>35</v>
      </c>
      <c r="C22" s="30">
        <f t="shared" si="2"/>
        <v>48</v>
      </c>
      <c r="D22" s="30">
        <v>20.0</v>
      </c>
      <c r="E22" s="30">
        <v>8.0</v>
      </c>
      <c r="F22" s="30">
        <v>4.0</v>
      </c>
      <c r="G22" s="30">
        <v>3.0</v>
      </c>
      <c r="H22" s="30">
        <v>0.0</v>
      </c>
      <c r="I22" s="30">
        <v>0.0</v>
      </c>
      <c r="J22" s="30">
        <v>27.0</v>
      </c>
      <c r="K22" s="30">
        <v>11.0</v>
      </c>
      <c r="L22" s="30">
        <v>6.0</v>
      </c>
      <c r="M22" s="30">
        <v>4.0</v>
      </c>
      <c r="N22" s="30">
        <v>0.0</v>
      </c>
      <c r="O22" s="30">
        <v>0.0</v>
      </c>
    </row>
    <row r="23" ht="13.5" customHeight="1">
      <c r="A23" s="30" t="s">
        <v>27</v>
      </c>
      <c r="B23" s="30">
        <f t="shared" si="3"/>
        <v>103</v>
      </c>
      <c r="C23" s="30">
        <f t="shared" si="2"/>
        <v>150</v>
      </c>
      <c r="D23" s="30">
        <v>67.0</v>
      </c>
      <c r="E23" s="30">
        <v>27.0</v>
      </c>
      <c r="F23" s="30">
        <v>1.0</v>
      </c>
      <c r="G23" s="30">
        <v>8.0</v>
      </c>
      <c r="H23" s="30">
        <v>0.0</v>
      </c>
      <c r="I23" s="30">
        <v>0.0</v>
      </c>
      <c r="J23" s="30">
        <v>97.0</v>
      </c>
      <c r="K23" s="30">
        <v>38.0</v>
      </c>
      <c r="L23" s="30">
        <v>2.0</v>
      </c>
      <c r="M23" s="30">
        <v>13.0</v>
      </c>
      <c r="N23" s="30">
        <v>0.0</v>
      </c>
      <c r="O23" s="30">
        <v>0.0</v>
      </c>
    </row>
    <row r="24" ht="13.5" customHeight="1">
      <c r="A24" s="30" t="s">
        <v>28</v>
      </c>
      <c r="B24" s="30">
        <f t="shared" si="3"/>
        <v>23</v>
      </c>
      <c r="C24" s="30">
        <f t="shared" si="2"/>
        <v>35</v>
      </c>
      <c r="D24" s="30">
        <v>12.0</v>
      </c>
      <c r="E24" s="30">
        <v>9.0</v>
      </c>
      <c r="F24" s="30">
        <v>0.0</v>
      </c>
      <c r="G24" s="30">
        <v>2.0</v>
      </c>
      <c r="H24" s="30">
        <v>0.0</v>
      </c>
      <c r="I24" s="30">
        <v>0.0</v>
      </c>
      <c r="J24" s="30">
        <v>17.0</v>
      </c>
      <c r="K24" s="30">
        <v>15.0</v>
      </c>
      <c r="L24" s="30">
        <v>0.0</v>
      </c>
      <c r="M24" s="30">
        <v>3.0</v>
      </c>
      <c r="N24" s="30">
        <v>0.0</v>
      </c>
      <c r="O24" s="30">
        <v>0.0</v>
      </c>
    </row>
    <row r="25" ht="13.5" customHeight="1">
      <c r="A25" s="30" t="s">
        <v>29</v>
      </c>
      <c r="B25" s="30">
        <f t="shared" si="3"/>
        <v>60</v>
      </c>
      <c r="C25" s="30">
        <f t="shared" si="2"/>
        <v>99</v>
      </c>
      <c r="D25" s="30">
        <v>33.0</v>
      </c>
      <c r="E25" s="30">
        <v>21.0</v>
      </c>
      <c r="F25" s="30">
        <v>3.0</v>
      </c>
      <c r="G25" s="30">
        <v>3.0</v>
      </c>
      <c r="H25" s="30">
        <v>0.0</v>
      </c>
      <c r="I25" s="30">
        <v>0.0</v>
      </c>
      <c r="J25" s="30">
        <v>54.0</v>
      </c>
      <c r="K25" s="30">
        <v>35.0</v>
      </c>
      <c r="L25" s="30">
        <v>5.0</v>
      </c>
      <c r="M25" s="30">
        <v>5.0</v>
      </c>
      <c r="N25" s="30">
        <v>0.0</v>
      </c>
      <c r="O25" s="30">
        <v>0.0</v>
      </c>
    </row>
    <row r="26" ht="13.5" customHeight="1">
      <c r="A26" s="31">
        <v>3794.0</v>
      </c>
      <c r="B26" s="32">
        <f t="shared" ref="B26:O26" si="4">SUM(B27:B29)</f>
        <v>163</v>
      </c>
      <c r="C26" s="32">
        <f t="shared" si="4"/>
        <v>250</v>
      </c>
      <c r="D26" s="32">
        <f t="shared" si="4"/>
        <v>97</v>
      </c>
      <c r="E26" s="32">
        <f t="shared" si="4"/>
        <v>41</v>
      </c>
      <c r="F26" s="32">
        <f t="shared" si="4"/>
        <v>7</v>
      </c>
      <c r="G26" s="32">
        <f t="shared" si="4"/>
        <v>18</v>
      </c>
      <c r="H26" s="32">
        <f t="shared" si="4"/>
        <v>0</v>
      </c>
      <c r="I26" s="32">
        <f t="shared" si="4"/>
        <v>0</v>
      </c>
      <c r="J26" s="32">
        <f t="shared" si="4"/>
        <v>146</v>
      </c>
      <c r="K26" s="32">
        <f t="shared" si="4"/>
        <v>66</v>
      </c>
      <c r="L26" s="32">
        <f t="shared" si="4"/>
        <v>11</v>
      </c>
      <c r="M26" s="32">
        <f t="shared" si="4"/>
        <v>27</v>
      </c>
      <c r="N26" s="32">
        <f t="shared" si="4"/>
        <v>0</v>
      </c>
      <c r="O26" s="32">
        <f t="shared" si="4"/>
        <v>0</v>
      </c>
    </row>
    <row r="27" ht="13.5" customHeight="1">
      <c r="A27" s="30" t="s">
        <v>31</v>
      </c>
      <c r="B27" s="33">
        <f t="shared" ref="B27:B36" si="5">SUM(D27:H27)</f>
        <v>44</v>
      </c>
      <c r="C27" s="33">
        <f t="shared" ref="C27:C36" si="6">SUM(J27:O27)</f>
        <v>72</v>
      </c>
      <c r="D27" s="30">
        <v>24.0</v>
      </c>
      <c r="E27" s="30">
        <v>12.0</v>
      </c>
      <c r="F27" s="30">
        <v>3.0</v>
      </c>
      <c r="G27" s="30">
        <v>5.0</v>
      </c>
      <c r="H27" s="33">
        <v>0.0</v>
      </c>
      <c r="I27" s="33">
        <v>0.0</v>
      </c>
      <c r="J27" s="30">
        <v>40.0</v>
      </c>
      <c r="K27" s="30">
        <v>21.0</v>
      </c>
      <c r="L27" s="30">
        <v>5.0</v>
      </c>
      <c r="M27" s="30">
        <v>6.0</v>
      </c>
      <c r="N27" s="30">
        <v>0.0</v>
      </c>
      <c r="O27" s="33">
        <v>0.0</v>
      </c>
    </row>
    <row r="28" ht="13.5" customHeight="1">
      <c r="A28" s="30" t="s">
        <v>32</v>
      </c>
      <c r="B28" s="33">
        <f t="shared" si="5"/>
        <v>38</v>
      </c>
      <c r="C28" s="33">
        <f t="shared" si="6"/>
        <v>50</v>
      </c>
      <c r="D28" s="30">
        <v>27.0</v>
      </c>
      <c r="E28" s="30">
        <v>10.0</v>
      </c>
      <c r="F28" s="30">
        <v>0.0</v>
      </c>
      <c r="G28" s="30">
        <v>1.0</v>
      </c>
      <c r="H28" s="33">
        <v>0.0</v>
      </c>
      <c r="I28" s="33">
        <v>0.0</v>
      </c>
      <c r="J28" s="30">
        <v>35.0</v>
      </c>
      <c r="K28" s="30">
        <v>13.0</v>
      </c>
      <c r="L28" s="30">
        <v>0.0</v>
      </c>
      <c r="M28" s="30">
        <v>2.0</v>
      </c>
      <c r="N28" s="30">
        <v>0.0</v>
      </c>
      <c r="O28" s="33">
        <v>0.0</v>
      </c>
      <c r="P28" s="14"/>
    </row>
    <row r="29" ht="13.5" customHeight="1">
      <c r="A29" s="30" t="s">
        <v>33</v>
      </c>
      <c r="B29" s="33">
        <f t="shared" si="5"/>
        <v>81</v>
      </c>
      <c r="C29" s="33">
        <f t="shared" si="6"/>
        <v>128</v>
      </c>
      <c r="D29" s="30">
        <v>46.0</v>
      </c>
      <c r="E29" s="30">
        <v>19.0</v>
      </c>
      <c r="F29" s="30">
        <v>4.0</v>
      </c>
      <c r="G29" s="30">
        <v>12.0</v>
      </c>
      <c r="H29" s="33">
        <v>0.0</v>
      </c>
      <c r="I29" s="33">
        <v>0.0</v>
      </c>
      <c r="J29" s="30">
        <v>71.0</v>
      </c>
      <c r="K29" s="30">
        <v>32.0</v>
      </c>
      <c r="L29" s="30">
        <v>6.0</v>
      </c>
      <c r="M29" s="30">
        <v>19.0</v>
      </c>
      <c r="N29" s="30">
        <v>0.0</v>
      </c>
      <c r="O29" s="33">
        <v>0.0</v>
      </c>
    </row>
    <row r="30" ht="13.5" customHeight="1">
      <c r="A30" s="31">
        <v>3795.0</v>
      </c>
      <c r="B30" s="32">
        <f t="shared" si="5"/>
        <v>96</v>
      </c>
      <c r="C30" s="32">
        <f t="shared" si="6"/>
        <v>144</v>
      </c>
      <c r="D30" s="32">
        <f t="shared" ref="D30:O30" si="7">SUM(D31:D32)</f>
        <v>37</v>
      </c>
      <c r="E30" s="32">
        <f t="shared" si="7"/>
        <v>17</v>
      </c>
      <c r="F30" s="32">
        <f t="shared" si="7"/>
        <v>11</v>
      </c>
      <c r="G30" s="32">
        <f t="shared" si="7"/>
        <v>31</v>
      </c>
      <c r="H30" s="32">
        <f t="shared" si="7"/>
        <v>0</v>
      </c>
      <c r="I30" s="32">
        <f t="shared" si="7"/>
        <v>0</v>
      </c>
      <c r="J30" s="32">
        <f t="shared" si="7"/>
        <v>52</v>
      </c>
      <c r="K30" s="32">
        <f t="shared" si="7"/>
        <v>29</v>
      </c>
      <c r="L30" s="32">
        <f t="shared" si="7"/>
        <v>22</v>
      </c>
      <c r="M30" s="32">
        <f t="shared" si="7"/>
        <v>41</v>
      </c>
      <c r="N30" s="32">
        <f t="shared" si="7"/>
        <v>0</v>
      </c>
      <c r="O30" s="32">
        <f t="shared" si="7"/>
        <v>0</v>
      </c>
      <c r="P30" s="14"/>
    </row>
    <row r="31" ht="13.5" customHeight="1">
      <c r="A31" s="30" t="s">
        <v>34</v>
      </c>
      <c r="B31" s="33">
        <f t="shared" si="5"/>
        <v>26</v>
      </c>
      <c r="C31" s="33">
        <f t="shared" si="6"/>
        <v>38</v>
      </c>
      <c r="D31" s="30">
        <v>10.0</v>
      </c>
      <c r="E31" s="30">
        <v>6.0</v>
      </c>
      <c r="F31" s="30">
        <v>4.0</v>
      </c>
      <c r="G31" s="30">
        <v>6.0</v>
      </c>
      <c r="H31" s="33">
        <v>0.0</v>
      </c>
      <c r="I31" s="33">
        <v>0.0</v>
      </c>
      <c r="J31" s="30">
        <v>14.0</v>
      </c>
      <c r="K31" s="30">
        <v>10.0</v>
      </c>
      <c r="L31" s="30">
        <v>7.0</v>
      </c>
      <c r="M31" s="30">
        <v>7.0</v>
      </c>
      <c r="N31" s="30">
        <v>0.0</v>
      </c>
      <c r="O31" s="33">
        <v>0.0</v>
      </c>
    </row>
    <row r="32" ht="13.5" customHeight="1">
      <c r="A32" s="30" t="s">
        <v>35</v>
      </c>
      <c r="B32" s="33">
        <f t="shared" si="5"/>
        <v>70</v>
      </c>
      <c r="C32" s="33">
        <f t="shared" si="6"/>
        <v>106</v>
      </c>
      <c r="D32" s="30">
        <v>27.0</v>
      </c>
      <c r="E32" s="30">
        <v>11.0</v>
      </c>
      <c r="F32" s="30">
        <v>7.0</v>
      </c>
      <c r="G32" s="30">
        <v>25.0</v>
      </c>
      <c r="H32" s="33">
        <v>0.0</v>
      </c>
      <c r="I32" s="33">
        <v>0.0</v>
      </c>
      <c r="J32" s="30">
        <v>38.0</v>
      </c>
      <c r="K32" s="30">
        <v>19.0</v>
      </c>
      <c r="L32" s="30">
        <v>15.0</v>
      </c>
      <c r="M32" s="30">
        <v>34.0</v>
      </c>
      <c r="N32" s="30">
        <v>0.0</v>
      </c>
      <c r="O32" s="33">
        <v>0.0</v>
      </c>
      <c r="Q32" s="14"/>
      <c r="R32" s="14"/>
      <c r="S32" s="14"/>
      <c r="T32" s="14"/>
      <c r="U32" s="14"/>
      <c r="V32" s="14"/>
      <c r="W32" s="14"/>
      <c r="X32" s="14"/>
    </row>
    <row r="33" ht="13.5" customHeight="1">
      <c r="A33" s="31">
        <v>3791.0</v>
      </c>
      <c r="B33" s="32">
        <f t="shared" si="5"/>
        <v>306</v>
      </c>
      <c r="C33" s="32">
        <f t="shared" si="6"/>
        <v>436</v>
      </c>
      <c r="D33" s="32">
        <f t="shared" ref="D33:O33" si="8">SUM(D34:D36)</f>
        <v>133</v>
      </c>
      <c r="E33" s="32">
        <f t="shared" si="8"/>
        <v>116</v>
      </c>
      <c r="F33" s="32">
        <f t="shared" si="8"/>
        <v>15</v>
      </c>
      <c r="G33" s="32">
        <f t="shared" si="8"/>
        <v>42</v>
      </c>
      <c r="H33" s="32">
        <f t="shared" si="8"/>
        <v>0</v>
      </c>
      <c r="I33" s="32">
        <f t="shared" si="8"/>
        <v>0</v>
      </c>
      <c r="J33" s="32">
        <f t="shared" si="8"/>
        <v>185</v>
      </c>
      <c r="K33" s="32">
        <f t="shared" si="8"/>
        <v>164</v>
      </c>
      <c r="L33" s="32">
        <f t="shared" si="8"/>
        <v>27</v>
      </c>
      <c r="M33" s="32">
        <f t="shared" si="8"/>
        <v>60</v>
      </c>
      <c r="N33" s="32">
        <f t="shared" si="8"/>
        <v>0</v>
      </c>
      <c r="O33" s="32">
        <f t="shared" si="8"/>
        <v>0</v>
      </c>
    </row>
    <row r="34" ht="13.5" customHeight="1">
      <c r="A34" s="30" t="s">
        <v>64</v>
      </c>
      <c r="B34" s="30">
        <f t="shared" si="5"/>
        <v>190</v>
      </c>
      <c r="C34" s="33">
        <f t="shared" si="6"/>
        <v>270</v>
      </c>
      <c r="D34" s="30">
        <v>77.0</v>
      </c>
      <c r="E34" s="30">
        <v>76.0</v>
      </c>
      <c r="F34" s="30">
        <v>6.0</v>
      </c>
      <c r="G34" s="30">
        <v>31.0</v>
      </c>
      <c r="H34" s="33">
        <v>0.0</v>
      </c>
      <c r="I34" s="33">
        <v>0.0</v>
      </c>
      <c r="J34" s="30">
        <v>105.0</v>
      </c>
      <c r="K34" s="30">
        <v>111.0</v>
      </c>
      <c r="L34" s="30">
        <v>10.0</v>
      </c>
      <c r="M34" s="30">
        <v>44.0</v>
      </c>
      <c r="N34" s="30">
        <v>0.0</v>
      </c>
      <c r="O34" s="33">
        <v>0.0</v>
      </c>
      <c r="P34" s="14"/>
      <c r="Q34" s="14"/>
      <c r="R34" s="14"/>
      <c r="S34" s="14"/>
      <c r="T34" s="14"/>
      <c r="U34" s="14"/>
      <c r="V34" s="14"/>
      <c r="W34" s="14"/>
      <c r="X34" s="14"/>
    </row>
    <row r="35" ht="13.5" customHeight="1">
      <c r="A35" s="30" t="s">
        <v>36</v>
      </c>
      <c r="B35" s="30">
        <f t="shared" si="5"/>
        <v>76</v>
      </c>
      <c r="C35" s="33">
        <f t="shared" si="6"/>
        <v>113</v>
      </c>
      <c r="D35" s="30">
        <v>38.0</v>
      </c>
      <c r="E35" s="30">
        <v>23.0</v>
      </c>
      <c r="F35" s="30">
        <v>7.0</v>
      </c>
      <c r="G35" s="30">
        <v>8.0</v>
      </c>
      <c r="H35" s="33">
        <v>0.0</v>
      </c>
      <c r="I35" s="33">
        <v>0.0</v>
      </c>
      <c r="J35" s="30">
        <v>56.0</v>
      </c>
      <c r="K35" s="30">
        <v>32.0</v>
      </c>
      <c r="L35" s="30">
        <v>13.0</v>
      </c>
      <c r="M35" s="30">
        <v>12.0</v>
      </c>
      <c r="N35" s="30">
        <v>0.0</v>
      </c>
      <c r="O35" s="33">
        <v>0.0</v>
      </c>
    </row>
    <row r="36" ht="13.5" customHeight="1">
      <c r="A36" s="30" t="s">
        <v>37</v>
      </c>
      <c r="B36" s="30">
        <f t="shared" si="5"/>
        <v>40</v>
      </c>
      <c r="C36" s="33">
        <f t="shared" si="6"/>
        <v>53</v>
      </c>
      <c r="D36" s="30">
        <v>18.0</v>
      </c>
      <c r="E36" s="30">
        <v>17.0</v>
      </c>
      <c r="F36" s="30">
        <v>2.0</v>
      </c>
      <c r="G36" s="30">
        <v>3.0</v>
      </c>
      <c r="H36" s="33">
        <v>0.0</v>
      </c>
      <c r="I36" s="33">
        <v>0.0</v>
      </c>
      <c r="J36" s="30">
        <v>24.0</v>
      </c>
      <c r="K36" s="30">
        <v>21.0</v>
      </c>
      <c r="L36" s="30">
        <v>4.0</v>
      </c>
      <c r="M36" s="30">
        <v>4.0</v>
      </c>
      <c r="N36" s="30">
        <v>0.0</v>
      </c>
      <c r="O36" s="33">
        <v>0.0</v>
      </c>
    </row>
    <row r="37" ht="13.5" customHeight="1">
      <c r="A37" s="19" t="s">
        <v>39</v>
      </c>
      <c r="B37" s="20">
        <f t="shared" ref="B37:O37" si="9">B4+B26+B30+B33</f>
        <v>1374</v>
      </c>
      <c r="C37" s="20">
        <f t="shared" si="9"/>
        <v>2046</v>
      </c>
      <c r="D37" s="20">
        <f t="shared" si="9"/>
        <v>745</v>
      </c>
      <c r="E37" s="20">
        <f t="shared" si="9"/>
        <v>410</v>
      </c>
      <c r="F37" s="20">
        <f t="shared" si="9"/>
        <v>77</v>
      </c>
      <c r="G37" s="20">
        <f t="shared" si="9"/>
        <v>138</v>
      </c>
      <c r="H37" s="20">
        <f t="shared" si="9"/>
        <v>4</v>
      </c>
      <c r="I37" s="20">
        <f t="shared" si="9"/>
        <v>0</v>
      </c>
      <c r="J37" s="20">
        <f t="shared" si="9"/>
        <v>1089</v>
      </c>
      <c r="K37" s="20">
        <f t="shared" si="9"/>
        <v>628</v>
      </c>
      <c r="L37" s="20">
        <f t="shared" si="9"/>
        <v>131</v>
      </c>
      <c r="M37" s="20">
        <f t="shared" si="9"/>
        <v>193</v>
      </c>
      <c r="N37" s="20">
        <f t="shared" si="9"/>
        <v>5</v>
      </c>
      <c r="O37" s="20">
        <f t="shared" si="9"/>
        <v>0</v>
      </c>
    </row>
    <row r="38" ht="13.5" customHeight="1"/>
    <row r="39" ht="13.5" customHeight="1">
      <c r="A39" s="21" t="s">
        <v>40</v>
      </c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3"/>
    </row>
    <row r="40" ht="13.5" customHeight="1">
      <c r="A40" s="24" t="s">
        <v>41</v>
      </c>
      <c r="B40" s="29" t="s">
        <v>6</v>
      </c>
      <c r="C40" s="8"/>
      <c r="D40" s="29" t="s">
        <v>7</v>
      </c>
      <c r="E40" s="8"/>
      <c r="F40" s="29" t="s">
        <v>8</v>
      </c>
      <c r="G40" s="8"/>
      <c r="H40" s="29" t="s">
        <v>9</v>
      </c>
      <c r="I40" s="8"/>
      <c r="J40" s="29" t="s">
        <v>55</v>
      </c>
      <c r="K40" s="8"/>
      <c r="L40" s="25" t="s">
        <v>56</v>
      </c>
      <c r="M40" s="25" t="s">
        <v>57</v>
      </c>
      <c r="Q40" s="14"/>
      <c r="R40" s="14"/>
      <c r="S40" s="14"/>
      <c r="T40" s="14"/>
      <c r="U40" s="14"/>
      <c r="V40" s="14"/>
      <c r="W40" s="14"/>
      <c r="X40" s="14"/>
    </row>
    <row r="41" ht="13.5" customHeight="1">
      <c r="A41" s="11"/>
      <c r="B41" s="25" t="s">
        <v>45</v>
      </c>
      <c r="C41" s="25" t="s">
        <v>46</v>
      </c>
      <c r="D41" s="25" t="s">
        <v>45</v>
      </c>
      <c r="E41" s="25" t="s">
        <v>46</v>
      </c>
      <c r="F41" s="25" t="s">
        <v>45</v>
      </c>
      <c r="G41" s="25" t="s">
        <v>46</v>
      </c>
      <c r="H41" s="25" t="s">
        <v>45</v>
      </c>
      <c r="I41" s="25" t="s">
        <v>46</v>
      </c>
      <c r="J41" s="25" t="s">
        <v>58</v>
      </c>
      <c r="K41" s="25" t="s">
        <v>46</v>
      </c>
      <c r="L41" s="25"/>
      <c r="M41" s="25"/>
    </row>
    <row r="42" ht="13.5" customHeight="1">
      <c r="A42" s="34" t="s">
        <v>47</v>
      </c>
      <c r="B42" s="34">
        <v>599.0</v>
      </c>
      <c r="C42" s="34">
        <v>977.0</v>
      </c>
      <c r="D42" s="34">
        <v>320.0</v>
      </c>
      <c r="E42" s="34">
        <v>543.0</v>
      </c>
      <c r="F42" s="34">
        <v>58.0</v>
      </c>
      <c r="G42" s="34">
        <v>109.0</v>
      </c>
      <c r="H42" s="34">
        <v>89.0</v>
      </c>
      <c r="I42" s="34">
        <v>130.0</v>
      </c>
      <c r="J42" s="34">
        <v>4.0</v>
      </c>
      <c r="K42" s="34">
        <v>5.0</v>
      </c>
      <c r="L42" s="34">
        <f t="shared" ref="L42:M42" si="10">SUM(B42+D42+F42+H42+J42)</f>
        <v>1070</v>
      </c>
      <c r="M42" s="34">
        <f t="shared" si="10"/>
        <v>1764</v>
      </c>
    </row>
    <row r="43" ht="13.5" customHeight="1">
      <c r="A43" s="34" t="s">
        <v>65</v>
      </c>
      <c r="B43" s="34">
        <v>77.0</v>
      </c>
      <c r="C43" s="34">
        <v>105.0</v>
      </c>
      <c r="D43" s="34">
        <v>72.0</v>
      </c>
      <c r="E43" s="34">
        <v>103.0</v>
      </c>
      <c r="F43" s="34">
        <v>8.0</v>
      </c>
      <c r="G43" s="34">
        <v>14.0</v>
      </c>
      <c r="H43" s="34">
        <v>33.0</v>
      </c>
      <c r="I43" s="34">
        <v>48.0</v>
      </c>
      <c r="J43" s="34">
        <v>0.0</v>
      </c>
      <c r="K43" s="34">
        <v>0.0</v>
      </c>
      <c r="L43" s="34">
        <f t="shared" ref="L43:M43" si="11">SUM(B43+D43+F43+H43+J43)</f>
        <v>190</v>
      </c>
      <c r="M43" s="34">
        <f t="shared" si="11"/>
        <v>270</v>
      </c>
    </row>
    <row r="44" ht="13.5" customHeight="1">
      <c r="A44" s="34" t="s">
        <v>66</v>
      </c>
      <c r="B44" s="34">
        <v>9.0</v>
      </c>
      <c r="C44" s="34">
        <v>9.0</v>
      </c>
      <c r="D44" s="34">
        <v>0.0</v>
      </c>
      <c r="E44" s="34">
        <v>0.0</v>
      </c>
      <c r="F44" s="34">
        <v>3.0</v>
      </c>
      <c r="G44" s="34">
        <v>3.0</v>
      </c>
      <c r="H44" s="34">
        <v>0.0</v>
      </c>
      <c r="I44" s="34">
        <v>0.0</v>
      </c>
      <c r="J44" s="34">
        <v>0.0</v>
      </c>
      <c r="K44" s="34">
        <v>0.0</v>
      </c>
      <c r="L44" s="34">
        <f t="shared" ref="L44:M44" si="12">SUM(B44+D44+F44+H44+J44)</f>
        <v>12</v>
      </c>
      <c r="M44" s="34">
        <f t="shared" si="12"/>
        <v>12</v>
      </c>
    </row>
    <row r="45" ht="15.0" customHeight="1">
      <c r="A45" s="28" t="s">
        <v>49</v>
      </c>
      <c r="B45" s="28">
        <f t="shared" ref="B45:M45" si="13">SUM(B42:B44)</f>
        <v>685</v>
      </c>
      <c r="C45" s="28">
        <f t="shared" si="13"/>
        <v>1091</v>
      </c>
      <c r="D45" s="28">
        <f t="shared" si="13"/>
        <v>392</v>
      </c>
      <c r="E45" s="28">
        <f t="shared" si="13"/>
        <v>646</v>
      </c>
      <c r="F45" s="28">
        <f t="shared" si="13"/>
        <v>69</v>
      </c>
      <c r="G45" s="28">
        <f t="shared" si="13"/>
        <v>126</v>
      </c>
      <c r="H45" s="28">
        <f t="shared" si="13"/>
        <v>122</v>
      </c>
      <c r="I45" s="28">
        <f t="shared" si="13"/>
        <v>178</v>
      </c>
      <c r="J45" s="28">
        <f t="shared" si="13"/>
        <v>4</v>
      </c>
      <c r="K45" s="28">
        <f t="shared" si="13"/>
        <v>5</v>
      </c>
      <c r="L45" s="28">
        <f t="shared" si="13"/>
        <v>1272</v>
      </c>
      <c r="M45" s="28">
        <f t="shared" si="13"/>
        <v>2046</v>
      </c>
    </row>
    <row r="46" ht="15.0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13">
    <mergeCell ref="A40:A41"/>
    <mergeCell ref="B40:C40"/>
    <mergeCell ref="D40:E40"/>
    <mergeCell ref="F40:G40"/>
    <mergeCell ref="H40:I40"/>
    <mergeCell ref="J40:K40"/>
    <mergeCell ref="A1:O1"/>
    <mergeCell ref="A2:A3"/>
    <mergeCell ref="B2:B3"/>
    <mergeCell ref="C2:C3"/>
    <mergeCell ref="D2:I2"/>
    <mergeCell ref="J2:O2"/>
    <mergeCell ref="A39:M39"/>
  </mergeCells>
  <printOptions/>
  <pageMargins bottom="0.984027777777778" footer="0.0" header="0.0" left="0.747916666666667" right="0.747916666666667" top="0.984027777777778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60.29"/>
    <col customWidth="1" min="2" max="2" width="10.57"/>
    <col customWidth="1" min="3" max="3" width="12.43"/>
    <col customWidth="1" min="4" max="4" width="10.29"/>
    <col customWidth="1" min="5" max="5" width="7.43"/>
    <col customWidth="1" min="6" max="6" width="10.71"/>
    <col customWidth="1" min="7" max="7" width="6.86"/>
    <col customWidth="1" min="8" max="8" width="10.57"/>
    <col customWidth="1" min="9" max="11" width="7.71"/>
    <col customWidth="1" min="12" max="12" width="9.71"/>
    <col customWidth="1" min="13" max="13" width="8.86"/>
    <col customWidth="1" min="14" max="14" width="9.86"/>
    <col customWidth="1" min="15" max="16" width="9.57"/>
    <col customWidth="1" min="17" max="17" width="7.86"/>
    <col customWidth="1" min="18" max="26" width="15.29"/>
  </cols>
  <sheetData>
    <row r="1" ht="13.5" customHeight="1">
      <c r="A1" s="35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7"/>
    </row>
    <row r="2" ht="15.0" customHeight="1">
      <c r="A2" s="38" t="s">
        <v>1</v>
      </c>
      <c r="B2" s="39" t="s">
        <v>72</v>
      </c>
      <c r="C2" s="39" t="s">
        <v>73</v>
      </c>
      <c r="D2" s="40" t="s">
        <v>4</v>
      </c>
      <c r="E2" s="36"/>
      <c r="F2" s="36"/>
      <c r="G2" s="36"/>
      <c r="H2" s="36"/>
      <c r="I2" s="36"/>
      <c r="J2" s="37"/>
      <c r="K2" s="40" t="s">
        <v>5</v>
      </c>
      <c r="L2" s="36"/>
      <c r="M2" s="36"/>
      <c r="N2" s="36"/>
      <c r="O2" s="36"/>
      <c r="P2" s="36"/>
      <c r="Q2" s="37"/>
    </row>
    <row r="3" ht="33.0" customHeight="1">
      <c r="A3" s="41"/>
      <c r="B3" s="41"/>
      <c r="C3" s="41"/>
      <c r="D3" s="42" t="s">
        <v>6</v>
      </c>
      <c r="E3" s="42" t="s">
        <v>7</v>
      </c>
      <c r="F3" s="42" t="s">
        <v>8</v>
      </c>
      <c r="G3" s="42" t="s">
        <v>9</v>
      </c>
      <c r="H3" s="42" t="s">
        <v>74</v>
      </c>
      <c r="I3" s="42" t="s">
        <v>75</v>
      </c>
      <c r="J3" s="42" t="s">
        <v>52</v>
      </c>
      <c r="K3" s="42" t="s">
        <v>6</v>
      </c>
      <c r="L3" s="42" t="s">
        <v>7</v>
      </c>
      <c r="M3" s="42" t="s">
        <v>8</v>
      </c>
      <c r="N3" s="42" t="s">
        <v>9</v>
      </c>
      <c r="O3" s="42" t="s">
        <v>74</v>
      </c>
      <c r="P3" s="42" t="s">
        <v>10</v>
      </c>
      <c r="Q3" s="42" t="s">
        <v>52</v>
      </c>
    </row>
    <row r="4" ht="13.5" customHeight="1">
      <c r="A4" s="13">
        <v>3792.0</v>
      </c>
      <c r="B4" s="13">
        <f>SUM(D4:J4)</f>
        <v>1210</v>
      </c>
      <c r="C4" s="13">
        <f>SUM(K4:Q4)</f>
        <v>1650</v>
      </c>
      <c r="D4" s="13">
        <f t="shared" ref="D4:Q4" si="1">SUM(D5:D27)</f>
        <v>631</v>
      </c>
      <c r="E4" s="13">
        <f t="shared" si="1"/>
        <v>367</v>
      </c>
      <c r="F4" s="13">
        <f t="shared" si="1"/>
        <v>103</v>
      </c>
      <c r="G4" s="13">
        <f t="shared" si="1"/>
        <v>102</v>
      </c>
      <c r="H4" s="13">
        <f t="shared" si="1"/>
        <v>2</v>
      </c>
      <c r="I4" s="13">
        <f t="shared" si="1"/>
        <v>4</v>
      </c>
      <c r="J4" s="13">
        <f t="shared" si="1"/>
        <v>1</v>
      </c>
      <c r="K4" s="13">
        <f t="shared" si="1"/>
        <v>871</v>
      </c>
      <c r="L4" s="13">
        <f t="shared" si="1"/>
        <v>514</v>
      </c>
      <c r="M4" s="13">
        <f t="shared" si="1"/>
        <v>141</v>
      </c>
      <c r="N4" s="13">
        <f t="shared" si="1"/>
        <v>116</v>
      </c>
      <c r="O4" s="13">
        <f t="shared" si="1"/>
        <v>2</v>
      </c>
      <c r="P4" s="13">
        <f t="shared" si="1"/>
        <v>5</v>
      </c>
      <c r="Q4" s="13">
        <f t="shared" si="1"/>
        <v>1</v>
      </c>
      <c r="R4" s="14"/>
      <c r="S4" s="14"/>
      <c r="T4" s="14"/>
      <c r="U4" s="14"/>
      <c r="V4" s="14"/>
      <c r="W4" s="14"/>
      <c r="X4" s="14"/>
      <c r="Y4" s="14"/>
    </row>
    <row r="5" ht="13.5" customHeight="1">
      <c r="A5" s="30" t="s">
        <v>61</v>
      </c>
      <c r="B5" s="30">
        <f t="shared" ref="B5:B12" si="2">SUM(D5:H5)</f>
        <v>0</v>
      </c>
      <c r="C5" s="30">
        <f t="shared" ref="C5:C27" si="3">SUM(K5:P5)</f>
        <v>1</v>
      </c>
      <c r="D5" s="30">
        <v>0.0</v>
      </c>
      <c r="E5" s="30">
        <v>0.0</v>
      </c>
      <c r="F5" s="30">
        <v>0.0</v>
      </c>
      <c r="G5" s="30">
        <v>0.0</v>
      </c>
      <c r="H5" s="30">
        <v>0.0</v>
      </c>
      <c r="I5" s="30">
        <v>1.0</v>
      </c>
      <c r="J5" s="30">
        <v>0.0</v>
      </c>
      <c r="K5" s="30">
        <v>0.0</v>
      </c>
      <c r="L5" s="30">
        <v>0.0</v>
      </c>
      <c r="M5" s="30">
        <v>0.0</v>
      </c>
      <c r="N5" s="30">
        <v>0.0</v>
      </c>
      <c r="O5" s="30">
        <v>0.0</v>
      </c>
      <c r="P5" s="30">
        <v>1.0</v>
      </c>
      <c r="Q5" s="30">
        <v>0.0</v>
      </c>
    </row>
    <row r="6" ht="13.5" customHeight="1">
      <c r="A6" s="30" t="s">
        <v>76</v>
      </c>
      <c r="B6" s="30">
        <f t="shared" si="2"/>
        <v>52</v>
      </c>
      <c r="C6" s="30">
        <f t="shared" si="3"/>
        <v>54</v>
      </c>
      <c r="D6" s="30">
        <v>31.0</v>
      </c>
      <c r="E6" s="30">
        <v>9.0</v>
      </c>
      <c r="F6" s="30">
        <v>3.0</v>
      </c>
      <c r="G6" s="30">
        <v>9.0</v>
      </c>
      <c r="H6" s="30">
        <v>0.0</v>
      </c>
      <c r="I6" s="30">
        <v>0.0</v>
      </c>
      <c r="J6" s="30">
        <v>0.0</v>
      </c>
      <c r="K6" s="30">
        <v>32.0</v>
      </c>
      <c r="L6" s="30">
        <v>10.0</v>
      </c>
      <c r="M6" s="30">
        <v>3.0</v>
      </c>
      <c r="N6" s="30">
        <v>9.0</v>
      </c>
      <c r="O6" s="30">
        <v>0.0</v>
      </c>
      <c r="P6" s="30">
        <v>0.0</v>
      </c>
      <c r="Q6" s="30">
        <v>0.0</v>
      </c>
    </row>
    <row r="7" ht="13.5" customHeight="1">
      <c r="A7" s="30" t="s">
        <v>13</v>
      </c>
      <c r="B7" s="30">
        <f t="shared" si="2"/>
        <v>36</v>
      </c>
      <c r="C7" s="30">
        <f t="shared" si="3"/>
        <v>58</v>
      </c>
      <c r="D7" s="30">
        <v>20.0</v>
      </c>
      <c r="E7" s="30">
        <v>14.0</v>
      </c>
      <c r="F7" s="30">
        <v>0.0</v>
      </c>
      <c r="G7" s="30">
        <v>2.0</v>
      </c>
      <c r="H7" s="30">
        <v>0.0</v>
      </c>
      <c r="I7" s="30">
        <v>0.0</v>
      </c>
      <c r="J7" s="30">
        <v>0.0</v>
      </c>
      <c r="K7" s="30">
        <v>34.0</v>
      </c>
      <c r="L7" s="30">
        <v>22.0</v>
      </c>
      <c r="M7" s="30">
        <v>0.0</v>
      </c>
      <c r="N7" s="30">
        <v>2.0</v>
      </c>
      <c r="O7" s="30">
        <v>0.0</v>
      </c>
      <c r="P7" s="30">
        <v>0.0</v>
      </c>
      <c r="Q7" s="30">
        <v>0.0</v>
      </c>
    </row>
    <row r="8" ht="13.5" customHeight="1">
      <c r="A8" s="30" t="s">
        <v>14</v>
      </c>
      <c r="B8" s="30">
        <f t="shared" si="2"/>
        <v>82</v>
      </c>
      <c r="C8" s="30">
        <f t="shared" si="3"/>
        <v>132</v>
      </c>
      <c r="D8" s="30">
        <v>41.0</v>
      </c>
      <c r="E8" s="30">
        <v>35.0</v>
      </c>
      <c r="F8" s="30">
        <v>5.0</v>
      </c>
      <c r="G8" s="30">
        <v>1.0</v>
      </c>
      <c r="H8" s="30">
        <v>0.0</v>
      </c>
      <c r="I8" s="30">
        <v>0.0</v>
      </c>
      <c r="J8" s="30">
        <v>0.0</v>
      </c>
      <c r="K8" s="30">
        <v>62.0</v>
      </c>
      <c r="L8" s="30">
        <v>60.0</v>
      </c>
      <c r="M8" s="30">
        <v>9.0</v>
      </c>
      <c r="N8" s="30">
        <v>1.0</v>
      </c>
      <c r="O8" s="30">
        <v>0.0</v>
      </c>
      <c r="P8" s="30">
        <v>0.0</v>
      </c>
      <c r="Q8" s="30">
        <v>0.0</v>
      </c>
    </row>
    <row r="9" ht="13.5" customHeight="1">
      <c r="A9" s="30" t="s">
        <v>15</v>
      </c>
      <c r="B9" s="30">
        <f t="shared" si="2"/>
        <v>18</v>
      </c>
      <c r="C9" s="30">
        <f t="shared" si="3"/>
        <v>23</v>
      </c>
      <c r="D9" s="30">
        <v>7.0</v>
      </c>
      <c r="E9" s="30">
        <v>4.0</v>
      </c>
      <c r="F9" s="30">
        <v>4.0</v>
      </c>
      <c r="G9" s="30">
        <v>3.0</v>
      </c>
      <c r="H9" s="30">
        <v>0.0</v>
      </c>
      <c r="I9" s="30">
        <v>0.0</v>
      </c>
      <c r="J9" s="30">
        <v>0.0</v>
      </c>
      <c r="K9" s="30">
        <v>10.0</v>
      </c>
      <c r="L9" s="30">
        <v>6.0</v>
      </c>
      <c r="M9" s="30">
        <v>4.0</v>
      </c>
      <c r="N9" s="30">
        <v>3.0</v>
      </c>
      <c r="O9" s="30">
        <v>0.0</v>
      </c>
      <c r="P9" s="30">
        <v>0.0</v>
      </c>
      <c r="Q9" s="30">
        <v>0.0</v>
      </c>
    </row>
    <row r="10" ht="13.5" customHeight="1">
      <c r="A10" s="30" t="s">
        <v>16</v>
      </c>
      <c r="B10" s="30">
        <f t="shared" si="2"/>
        <v>14</v>
      </c>
      <c r="C10" s="30">
        <f t="shared" si="3"/>
        <v>23</v>
      </c>
      <c r="D10" s="30">
        <v>9.0</v>
      </c>
      <c r="E10" s="30">
        <v>3.0</v>
      </c>
      <c r="F10" s="30">
        <v>2.0</v>
      </c>
      <c r="G10" s="30">
        <v>0.0</v>
      </c>
      <c r="H10" s="30">
        <v>0.0</v>
      </c>
      <c r="I10" s="30">
        <v>0.0</v>
      </c>
      <c r="J10" s="30">
        <v>0.0</v>
      </c>
      <c r="K10" s="30">
        <v>15.0</v>
      </c>
      <c r="L10" s="30">
        <v>5.0</v>
      </c>
      <c r="M10" s="30">
        <v>3.0</v>
      </c>
      <c r="N10" s="30">
        <v>0.0</v>
      </c>
      <c r="O10" s="30">
        <v>0.0</v>
      </c>
      <c r="P10" s="30">
        <v>0.0</v>
      </c>
      <c r="Q10" s="30">
        <v>0.0</v>
      </c>
    </row>
    <row r="11" ht="13.5" customHeight="1">
      <c r="A11" s="30" t="s">
        <v>77</v>
      </c>
      <c r="B11" s="30">
        <f t="shared" si="2"/>
        <v>42</v>
      </c>
      <c r="C11" s="30">
        <f t="shared" si="3"/>
        <v>42</v>
      </c>
      <c r="D11" s="30">
        <v>12.0</v>
      </c>
      <c r="E11" s="30">
        <v>18.0</v>
      </c>
      <c r="F11" s="30">
        <v>6.0</v>
      </c>
      <c r="G11" s="30">
        <v>6.0</v>
      </c>
      <c r="H11" s="30">
        <v>0.0</v>
      </c>
      <c r="I11" s="30">
        <v>0.0</v>
      </c>
      <c r="J11" s="30">
        <v>0.0</v>
      </c>
      <c r="K11" s="30">
        <v>12.0</v>
      </c>
      <c r="L11" s="30">
        <v>18.0</v>
      </c>
      <c r="M11" s="30">
        <v>6.0</v>
      </c>
      <c r="N11" s="30">
        <v>6.0</v>
      </c>
      <c r="O11" s="30">
        <v>0.0</v>
      </c>
      <c r="P11" s="30">
        <v>0.0</v>
      </c>
      <c r="Q11" s="30">
        <v>0.0</v>
      </c>
    </row>
    <row r="12" ht="13.5" customHeight="1">
      <c r="A12" s="30" t="s">
        <v>78</v>
      </c>
      <c r="B12" s="30">
        <f t="shared" si="2"/>
        <v>158</v>
      </c>
      <c r="C12" s="30">
        <f t="shared" si="3"/>
        <v>158</v>
      </c>
      <c r="D12" s="30">
        <v>68.0</v>
      </c>
      <c r="E12" s="30">
        <v>63.0</v>
      </c>
      <c r="F12" s="30">
        <v>12.0</v>
      </c>
      <c r="G12" s="30">
        <v>15.0</v>
      </c>
      <c r="H12" s="30">
        <v>0.0</v>
      </c>
      <c r="I12" s="30">
        <v>0.0</v>
      </c>
      <c r="J12" s="30">
        <v>0.0</v>
      </c>
      <c r="K12" s="30">
        <v>68.0</v>
      </c>
      <c r="L12" s="30">
        <v>63.0</v>
      </c>
      <c r="M12" s="30">
        <v>12.0</v>
      </c>
      <c r="N12" s="30">
        <v>15.0</v>
      </c>
      <c r="O12" s="30">
        <v>0.0</v>
      </c>
      <c r="P12" s="30">
        <v>0.0</v>
      </c>
      <c r="Q12" s="30">
        <v>0.0</v>
      </c>
    </row>
    <row r="13" ht="13.5" customHeight="1">
      <c r="A13" s="30" t="s">
        <v>17</v>
      </c>
      <c r="B13" s="13">
        <f>SUM(D13:I13)</f>
        <v>30</v>
      </c>
      <c r="C13" s="30">
        <f t="shared" si="3"/>
        <v>42</v>
      </c>
      <c r="D13" s="30">
        <v>19.0</v>
      </c>
      <c r="E13" s="30">
        <v>9.0</v>
      </c>
      <c r="F13" s="30">
        <v>1.0</v>
      </c>
      <c r="G13" s="30">
        <v>1.0</v>
      </c>
      <c r="H13" s="30">
        <v>0.0</v>
      </c>
      <c r="I13" s="30">
        <v>0.0</v>
      </c>
      <c r="J13" s="30">
        <v>0.0</v>
      </c>
      <c r="K13" s="30">
        <v>25.0</v>
      </c>
      <c r="L13" s="30">
        <v>15.0</v>
      </c>
      <c r="M13" s="30">
        <v>1.0</v>
      </c>
      <c r="N13" s="30">
        <v>1.0</v>
      </c>
      <c r="O13" s="30">
        <v>0.0</v>
      </c>
      <c r="P13" s="30">
        <v>0.0</v>
      </c>
      <c r="Q13" s="30">
        <v>0.0</v>
      </c>
    </row>
    <row r="14" ht="13.5" customHeight="1">
      <c r="A14" s="30" t="s">
        <v>53</v>
      </c>
      <c r="B14" s="30">
        <f t="shared" ref="B14:B21" si="4">SUM(D14:H14)</f>
        <v>0</v>
      </c>
      <c r="C14" s="30">
        <f t="shared" si="3"/>
        <v>4</v>
      </c>
      <c r="D14" s="30">
        <v>0.0</v>
      </c>
      <c r="E14" s="30">
        <v>0.0</v>
      </c>
      <c r="F14" s="30">
        <v>0.0</v>
      </c>
      <c r="G14" s="30">
        <v>0.0</v>
      </c>
      <c r="H14" s="30">
        <v>0.0</v>
      </c>
      <c r="I14" s="30">
        <v>3.0</v>
      </c>
      <c r="J14" s="30">
        <v>0.0</v>
      </c>
      <c r="K14" s="30">
        <v>0.0</v>
      </c>
      <c r="L14" s="30">
        <v>0.0</v>
      </c>
      <c r="M14" s="30">
        <v>0.0</v>
      </c>
      <c r="N14" s="30">
        <v>0.0</v>
      </c>
      <c r="O14" s="30">
        <v>0.0</v>
      </c>
      <c r="P14" s="30">
        <v>4.0</v>
      </c>
      <c r="Q14" s="30">
        <v>0.0</v>
      </c>
    </row>
    <row r="15" ht="13.5" customHeight="1">
      <c r="A15" s="30" t="s">
        <v>79</v>
      </c>
      <c r="B15" s="30">
        <f t="shared" si="4"/>
        <v>39</v>
      </c>
      <c r="C15" s="30">
        <f t="shared" si="3"/>
        <v>39</v>
      </c>
      <c r="D15" s="30">
        <v>20.0</v>
      </c>
      <c r="E15" s="30">
        <v>7.0</v>
      </c>
      <c r="F15" s="30">
        <v>6.0</v>
      </c>
      <c r="G15" s="30">
        <v>6.0</v>
      </c>
      <c r="H15" s="30">
        <v>0.0</v>
      </c>
      <c r="I15" s="30">
        <v>0.0</v>
      </c>
      <c r="J15" s="30">
        <v>0.0</v>
      </c>
      <c r="K15" s="30">
        <v>20.0</v>
      </c>
      <c r="L15" s="30">
        <v>7.0</v>
      </c>
      <c r="M15" s="30">
        <v>6.0</v>
      </c>
      <c r="N15" s="30">
        <v>6.0</v>
      </c>
      <c r="O15" s="30">
        <v>0.0</v>
      </c>
      <c r="P15" s="30">
        <v>0.0</v>
      </c>
      <c r="Q15" s="30">
        <v>0.0</v>
      </c>
    </row>
    <row r="16" ht="13.5" customHeight="1">
      <c r="A16" s="30" t="s">
        <v>20</v>
      </c>
      <c r="B16" s="30">
        <f t="shared" si="4"/>
        <v>70</v>
      </c>
      <c r="C16" s="30">
        <f t="shared" si="3"/>
        <v>105</v>
      </c>
      <c r="D16" s="30">
        <v>42.0</v>
      </c>
      <c r="E16" s="30">
        <v>16.0</v>
      </c>
      <c r="F16" s="30">
        <v>8.0</v>
      </c>
      <c r="G16" s="30">
        <v>4.0</v>
      </c>
      <c r="H16" s="30">
        <v>0.0</v>
      </c>
      <c r="I16" s="30">
        <v>0.0</v>
      </c>
      <c r="J16" s="30">
        <v>0.0</v>
      </c>
      <c r="K16" s="30">
        <v>64.0</v>
      </c>
      <c r="L16" s="30">
        <v>22.0</v>
      </c>
      <c r="M16" s="30">
        <v>14.0</v>
      </c>
      <c r="N16" s="30">
        <v>5.0</v>
      </c>
      <c r="O16" s="30">
        <v>0.0</v>
      </c>
      <c r="P16" s="30">
        <v>0.0</v>
      </c>
      <c r="Q16" s="30">
        <v>0.0</v>
      </c>
    </row>
    <row r="17" ht="13.5" customHeight="1">
      <c r="A17" s="30" t="s">
        <v>21</v>
      </c>
      <c r="B17" s="30">
        <f t="shared" si="4"/>
        <v>44</v>
      </c>
      <c r="C17" s="30">
        <f t="shared" si="3"/>
        <v>68</v>
      </c>
      <c r="D17" s="30">
        <v>26.0</v>
      </c>
      <c r="E17" s="30">
        <v>9.0</v>
      </c>
      <c r="F17" s="30">
        <v>2.0</v>
      </c>
      <c r="G17" s="30">
        <v>7.0</v>
      </c>
      <c r="H17" s="30">
        <v>0.0</v>
      </c>
      <c r="I17" s="30">
        <v>0.0</v>
      </c>
      <c r="J17" s="30">
        <v>0.0</v>
      </c>
      <c r="K17" s="30">
        <v>41.0</v>
      </c>
      <c r="L17" s="30">
        <v>16.0</v>
      </c>
      <c r="M17" s="30">
        <v>3.0</v>
      </c>
      <c r="N17" s="30">
        <v>8.0</v>
      </c>
      <c r="O17" s="30">
        <v>0.0</v>
      </c>
      <c r="P17" s="30">
        <v>0.0</v>
      </c>
      <c r="Q17" s="30">
        <v>0.0</v>
      </c>
    </row>
    <row r="18" ht="13.5" customHeight="1">
      <c r="A18" s="30" t="s">
        <v>22</v>
      </c>
      <c r="B18" s="30">
        <f t="shared" si="4"/>
        <v>132</v>
      </c>
      <c r="C18" s="30">
        <f t="shared" si="3"/>
        <v>219</v>
      </c>
      <c r="D18" s="30">
        <v>79.0</v>
      </c>
      <c r="E18" s="30">
        <v>37.0</v>
      </c>
      <c r="F18" s="30">
        <v>10.0</v>
      </c>
      <c r="G18" s="30">
        <v>6.0</v>
      </c>
      <c r="H18" s="30">
        <v>0.0</v>
      </c>
      <c r="I18" s="30">
        <v>0.0</v>
      </c>
      <c r="J18" s="30">
        <v>0.0</v>
      </c>
      <c r="K18" s="30">
        <v>128.0</v>
      </c>
      <c r="L18" s="30">
        <v>62.0</v>
      </c>
      <c r="M18" s="30">
        <v>18.0</v>
      </c>
      <c r="N18" s="30">
        <v>11.0</v>
      </c>
      <c r="O18" s="30">
        <v>0.0</v>
      </c>
      <c r="P18" s="30">
        <v>0.0</v>
      </c>
      <c r="Q18" s="30">
        <v>0.0</v>
      </c>
    </row>
    <row r="19" ht="13.5" customHeight="1">
      <c r="A19" s="30" t="s">
        <v>23</v>
      </c>
      <c r="B19" s="30">
        <f t="shared" si="4"/>
        <v>14</v>
      </c>
      <c r="C19" s="30">
        <f t="shared" si="3"/>
        <v>26</v>
      </c>
      <c r="D19" s="30">
        <v>2.0</v>
      </c>
      <c r="E19" s="30">
        <v>6.0</v>
      </c>
      <c r="F19" s="30">
        <v>6.0</v>
      </c>
      <c r="G19" s="30">
        <v>0.0</v>
      </c>
      <c r="H19" s="30">
        <v>0.0</v>
      </c>
      <c r="I19" s="30">
        <v>0.0</v>
      </c>
      <c r="J19" s="30">
        <v>0.0</v>
      </c>
      <c r="K19" s="30">
        <v>4.0</v>
      </c>
      <c r="L19" s="30">
        <v>11.0</v>
      </c>
      <c r="M19" s="30">
        <v>11.0</v>
      </c>
      <c r="N19" s="30">
        <v>0.0</v>
      </c>
      <c r="O19" s="30">
        <v>0.0</v>
      </c>
      <c r="P19" s="30">
        <v>0.0</v>
      </c>
      <c r="Q19" s="30">
        <v>0.0</v>
      </c>
    </row>
    <row r="20" ht="13.5" customHeight="1">
      <c r="A20" s="30" t="s">
        <v>24</v>
      </c>
      <c r="B20" s="30">
        <f t="shared" si="4"/>
        <v>68</v>
      </c>
      <c r="C20" s="30">
        <f t="shared" si="3"/>
        <v>105</v>
      </c>
      <c r="D20" s="30">
        <v>38.0</v>
      </c>
      <c r="E20" s="30">
        <v>20.0</v>
      </c>
      <c r="F20" s="30">
        <v>6.0</v>
      </c>
      <c r="G20" s="30">
        <v>4.0</v>
      </c>
      <c r="H20" s="30">
        <v>0.0</v>
      </c>
      <c r="I20" s="30">
        <v>0.0</v>
      </c>
      <c r="J20" s="30">
        <v>0.0</v>
      </c>
      <c r="K20" s="30">
        <v>59.0</v>
      </c>
      <c r="L20" s="30">
        <v>32.0</v>
      </c>
      <c r="M20" s="30">
        <v>10.0</v>
      </c>
      <c r="N20" s="30">
        <v>4.0</v>
      </c>
      <c r="O20" s="30">
        <v>0.0</v>
      </c>
      <c r="P20" s="30">
        <v>0.0</v>
      </c>
      <c r="Q20" s="30">
        <v>0.0</v>
      </c>
    </row>
    <row r="21" ht="13.5" customHeight="1">
      <c r="A21" s="30" t="s">
        <v>25</v>
      </c>
      <c r="B21" s="30">
        <f t="shared" si="4"/>
        <v>46</v>
      </c>
      <c r="C21" s="30">
        <f t="shared" si="3"/>
        <v>68</v>
      </c>
      <c r="D21" s="30">
        <v>23.0</v>
      </c>
      <c r="E21" s="30">
        <v>16.0</v>
      </c>
      <c r="F21" s="30">
        <v>3.0</v>
      </c>
      <c r="G21" s="30">
        <v>4.0</v>
      </c>
      <c r="H21" s="30">
        <v>0.0</v>
      </c>
      <c r="I21" s="30">
        <v>0.0</v>
      </c>
      <c r="J21" s="30">
        <v>0.0</v>
      </c>
      <c r="K21" s="30">
        <v>32.0</v>
      </c>
      <c r="L21" s="30">
        <v>27.0</v>
      </c>
      <c r="M21" s="30">
        <v>5.0</v>
      </c>
      <c r="N21" s="30">
        <v>4.0</v>
      </c>
      <c r="O21" s="30">
        <v>0.0</v>
      </c>
      <c r="P21" s="30">
        <v>0.0</v>
      </c>
      <c r="Q21" s="30">
        <v>0.0</v>
      </c>
    </row>
    <row r="22" ht="13.5" customHeight="1">
      <c r="A22" s="30" t="s">
        <v>26</v>
      </c>
      <c r="B22" s="13">
        <f>SUM(D22:I22)</f>
        <v>33</v>
      </c>
      <c r="C22" s="30">
        <f t="shared" si="3"/>
        <v>48</v>
      </c>
      <c r="D22" s="30">
        <v>17.0</v>
      </c>
      <c r="E22" s="30">
        <v>10.0</v>
      </c>
      <c r="F22" s="30">
        <v>4.0</v>
      </c>
      <c r="G22" s="30">
        <v>2.0</v>
      </c>
      <c r="H22" s="30">
        <v>0.0</v>
      </c>
      <c r="I22" s="30">
        <v>0.0</v>
      </c>
      <c r="J22" s="30">
        <v>0.0</v>
      </c>
      <c r="K22" s="30">
        <v>26.0</v>
      </c>
      <c r="L22" s="30">
        <v>14.0</v>
      </c>
      <c r="M22" s="30">
        <v>6.0</v>
      </c>
      <c r="N22" s="30">
        <v>2.0</v>
      </c>
      <c r="O22" s="30">
        <v>0.0</v>
      </c>
      <c r="P22" s="30">
        <v>0.0</v>
      </c>
      <c r="Q22" s="30">
        <v>0.0</v>
      </c>
    </row>
    <row r="23" ht="13.5" customHeight="1">
      <c r="A23" s="30" t="s">
        <v>27</v>
      </c>
      <c r="B23" s="30">
        <f t="shared" ref="B23:B27" si="5">SUM(D23:H23)</f>
        <v>89</v>
      </c>
      <c r="C23" s="30">
        <f t="shared" si="3"/>
        <v>144</v>
      </c>
      <c r="D23" s="30">
        <v>59.0</v>
      </c>
      <c r="E23" s="30">
        <v>23.0</v>
      </c>
      <c r="F23" s="30">
        <v>2.0</v>
      </c>
      <c r="G23" s="30">
        <v>5.0</v>
      </c>
      <c r="H23" s="30">
        <v>0.0</v>
      </c>
      <c r="I23" s="30">
        <v>0.0</v>
      </c>
      <c r="J23" s="30">
        <v>0.0</v>
      </c>
      <c r="K23" s="30">
        <v>94.0</v>
      </c>
      <c r="L23" s="30">
        <v>37.0</v>
      </c>
      <c r="M23" s="30">
        <v>4.0</v>
      </c>
      <c r="N23" s="30">
        <v>9.0</v>
      </c>
      <c r="O23" s="30">
        <v>0.0</v>
      </c>
      <c r="P23" s="30">
        <v>0.0</v>
      </c>
      <c r="Q23" s="30">
        <v>0.0</v>
      </c>
    </row>
    <row r="24" ht="13.5" customHeight="1">
      <c r="A24" s="30" t="s">
        <v>28</v>
      </c>
      <c r="B24" s="30">
        <f t="shared" si="5"/>
        <v>24</v>
      </c>
      <c r="C24" s="30">
        <f t="shared" si="3"/>
        <v>37</v>
      </c>
      <c r="D24" s="30">
        <v>12.0</v>
      </c>
      <c r="E24" s="30">
        <v>8.0</v>
      </c>
      <c r="F24" s="30">
        <v>1.0</v>
      </c>
      <c r="G24" s="30">
        <v>3.0</v>
      </c>
      <c r="H24" s="30">
        <v>0.0</v>
      </c>
      <c r="I24" s="30">
        <v>0.0</v>
      </c>
      <c r="J24" s="30">
        <v>0.0</v>
      </c>
      <c r="K24" s="30">
        <v>17.0</v>
      </c>
      <c r="L24" s="30">
        <v>14.0</v>
      </c>
      <c r="M24" s="30">
        <v>2.0</v>
      </c>
      <c r="N24" s="30">
        <v>4.0</v>
      </c>
      <c r="O24" s="30">
        <v>0.0</v>
      </c>
      <c r="P24" s="30">
        <v>0.0</v>
      </c>
      <c r="Q24" s="30">
        <v>0.0</v>
      </c>
    </row>
    <row r="25" ht="13.5" customHeight="1">
      <c r="A25" s="30" t="s">
        <v>29</v>
      </c>
      <c r="B25" s="30">
        <f t="shared" si="5"/>
        <v>63</v>
      </c>
      <c r="C25" s="30">
        <f t="shared" si="3"/>
        <v>102</v>
      </c>
      <c r="D25" s="30">
        <v>33.0</v>
      </c>
      <c r="E25" s="30">
        <v>22.0</v>
      </c>
      <c r="F25" s="30">
        <v>3.0</v>
      </c>
      <c r="G25" s="30">
        <v>5.0</v>
      </c>
      <c r="H25" s="30">
        <v>0.0</v>
      </c>
      <c r="I25" s="30">
        <v>0.0</v>
      </c>
      <c r="J25" s="30">
        <v>0.0</v>
      </c>
      <c r="K25" s="30">
        <v>55.0</v>
      </c>
      <c r="L25" s="30">
        <v>35.0</v>
      </c>
      <c r="M25" s="30">
        <v>5.0</v>
      </c>
      <c r="N25" s="30">
        <v>7.0</v>
      </c>
      <c r="O25" s="30">
        <v>0.0</v>
      </c>
      <c r="P25" s="30">
        <v>0.0</v>
      </c>
      <c r="Q25" s="30">
        <v>0.0</v>
      </c>
    </row>
    <row r="26" ht="13.5" customHeight="1">
      <c r="A26" s="30" t="s">
        <v>80</v>
      </c>
      <c r="B26" s="30">
        <f t="shared" si="5"/>
        <v>139</v>
      </c>
      <c r="C26" s="30">
        <f t="shared" si="3"/>
        <v>139</v>
      </c>
      <c r="D26" s="30">
        <v>70.0</v>
      </c>
      <c r="E26" s="30">
        <v>32.0</v>
      </c>
      <c r="F26" s="30">
        <v>19.0</v>
      </c>
      <c r="G26" s="30">
        <v>17.0</v>
      </c>
      <c r="H26" s="30">
        <v>1.0</v>
      </c>
      <c r="I26" s="30">
        <v>0.0</v>
      </c>
      <c r="J26" s="30">
        <v>1.0</v>
      </c>
      <c r="K26" s="30">
        <v>70.0</v>
      </c>
      <c r="L26" s="30">
        <v>32.0</v>
      </c>
      <c r="M26" s="30">
        <v>19.0</v>
      </c>
      <c r="N26" s="30">
        <v>17.0</v>
      </c>
      <c r="O26" s="30">
        <v>1.0</v>
      </c>
      <c r="P26" s="30">
        <v>0.0</v>
      </c>
      <c r="Q26" s="30">
        <v>1.0</v>
      </c>
    </row>
    <row r="27" ht="13.5" customHeight="1">
      <c r="A27" s="30" t="s">
        <v>81</v>
      </c>
      <c r="B27" s="30">
        <f t="shared" si="5"/>
        <v>12</v>
      </c>
      <c r="C27" s="30">
        <f t="shared" si="3"/>
        <v>12</v>
      </c>
      <c r="D27" s="30">
        <v>3.0</v>
      </c>
      <c r="E27" s="30">
        <v>6.0</v>
      </c>
      <c r="F27" s="30">
        <v>0.0</v>
      </c>
      <c r="G27" s="30">
        <v>2.0</v>
      </c>
      <c r="H27" s="30">
        <v>1.0</v>
      </c>
      <c r="I27" s="30">
        <v>0.0</v>
      </c>
      <c r="J27" s="30">
        <v>0.0</v>
      </c>
      <c r="K27" s="30">
        <v>3.0</v>
      </c>
      <c r="L27" s="30">
        <v>6.0</v>
      </c>
      <c r="M27" s="30">
        <v>0.0</v>
      </c>
      <c r="N27" s="30">
        <v>2.0</v>
      </c>
      <c r="O27" s="30">
        <v>1.0</v>
      </c>
      <c r="P27" s="30">
        <v>0.0</v>
      </c>
      <c r="Q27" s="30">
        <v>0.0</v>
      </c>
    </row>
    <row r="28" ht="13.5" customHeight="1">
      <c r="A28" s="31">
        <v>3794.0</v>
      </c>
      <c r="B28" s="32">
        <f t="shared" ref="B28:Q28" si="6">SUM(B29:B31)</f>
        <v>174</v>
      </c>
      <c r="C28" s="32">
        <f t="shared" si="6"/>
        <v>280</v>
      </c>
      <c r="D28" s="32">
        <f t="shared" si="6"/>
        <v>101</v>
      </c>
      <c r="E28" s="32">
        <f t="shared" si="6"/>
        <v>46</v>
      </c>
      <c r="F28" s="32">
        <f t="shared" si="6"/>
        <v>5</v>
      </c>
      <c r="G28" s="32">
        <f t="shared" si="6"/>
        <v>22</v>
      </c>
      <c r="H28" s="32">
        <f t="shared" si="6"/>
        <v>0</v>
      </c>
      <c r="I28" s="32">
        <f t="shared" si="6"/>
        <v>0</v>
      </c>
      <c r="J28" s="32">
        <f t="shared" si="6"/>
        <v>0</v>
      </c>
      <c r="K28" s="32">
        <f t="shared" si="6"/>
        <v>158</v>
      </c>
      <c r="L28" s="32">
        <f t="shared" si="6"/>
        <v>79</v>
      </c>
      <c r="M28" s="32">
        <f t="shared" si="6"/>
        <v>8</v>
      </c>
      <c r="N28" s="32">
        <f t="shared" si="6"/>
        <v>35</v>
      </c>
      <c r="O28" s="32">
        <f t="shared" si="6"/>
        <v>0</v>
      </c>
      <c r="P28" s="32">
        <f t="shared" si="6"/>
        <v>0</v>
      </c>
      <c r="Q28" s="32">
        <f t="shared" si="6"/>
        <v>0</v>
      </c>
    </row>
    <row r="29" ht="13.5" customHeight="1">
      <c r="A29" s="30" t="s">
        <v>31</v>
      </c>
      <c r="B29" s="33">
        <f t="shared" ref="B29:B38" si="7">SUM(D29:H29)</f>
        <v>43</v>
      </c>
      <c r="C29" s="33">
        <f t="shared" ref="C29:C38" si="8">SUM(K29:P29)</f>
        <v>78</v>
      </c>
      <c r="D29" s="30">
        <v>24.0</v>
      </c>
      <c r="E29" s="30">
        <v>13.0</v>
      </c>
      <c r="F29" s="30">
        <v>1.0</v>
      </c>
      <c r="G29" s="30">
        <v>5.0</v>
      </c>
      <c r="H29" s="33">
        <v>0.0</v>
      </c>
      <c r="I29" s="33">
        <v>0.0</v>
      </c>
      <c r="J29" s="33">
        <v>0.0</v>
      </c>
      <c r="K29" s="30">
        <v>44.0</v>
      </c>
      <c r="L29" s="30">
        <v>24.0</v>
      </c>
      <c r="M29" s="30">
        <v>2.0</v>
      </c>
      <c r="N29" s="30">
        <v>8.0</v>
      </c>
      <c r="O29" s="30">
        <v>0.0</v>
      </c>
      <c r="P29" s="33">
        <v>0.0</v>
      </c>
      <c r="Q29" s="33">
        <v>0.0</v>
      </c>
    </row>
    <row r="30" ht="13.5" customHeight="1">
      <c r="A30" s="30" t="s">
        <v>32</v>
      </c>
      <c r="B30" s="33">
        <f t="shared" si="7"/>
        <v>41</v>
      </c>
      <c r="C30" s="33">
        <f t="shared" si="8"/>
        <v>56</v>
      </c>
      <c r="D30" s="30">
        <v>28.0</v>
      </c>
      <c r="E30" s="30">
        <v>10.0</v>
      </c>
      <c r="F30" s="30">
        <v>0.0</v>
      </c>
      <c r="G30" s="30">
        <v>3.0</v>
      </c>
      <c r="H30" s="33">
        <v>0.0</v>
      </c>
      <c r="I30" s="33">
        <v>0.0</v>
      </c>
      <c r="J30" s="33">
        <v>0.0</v>
      </c>
      <c r="K30" s="30">
        <v>39.0</v>
      </c>
      <c r="L30" s="30">
        <v>14.0</v>
      </c>
      <c r="M30" s="30">
        <v>0.0</v>
      </c>
      <c r="N30" s="30">
        <v>3.0</v>
      </c>
      <c r="O30" s="30">
        <v>0.0</v>
      </c>
      <c r="P30" s="33">
        <v>0.0</v>
      </c>
      <c r="Q30" s="33">
        <v>0.0</v>
      </c>
    </row>
    <row r="31" ht="13.5" customHeight="1">
      <c r="A31" s="30" t="s">
        <v>33</v>
      </c>
      <c r="B31" s="33">
        <f t="shared" si="7"/>
        <v>90</v>
      </c>
      <c r="C31" s="33">
        <f t="shared" si="8"/>
        <v>146</v>
      </c>
      <c r="D31" s="30">
        <v>49.0</v>
      </c>
      <c r="E31" s="30">
        <v>23.0</v>
      </c>
      <c r="F31" s="30">
        <v>4.0</v>
      </c>
      <c r="G31" s="30">
        <v>14.0</v>
      </c>
      <c r="H31" s="33">
        <v>0.0</v>
      </c>
      <c r="I31" s="33">
        <v>0.0</v>
      </c>
      <c r="J31" s="33">
        <v>0.0</v>
      </c>
      <c r="K31" s="30">
        <v>75.0</v>
      </c>
      <c r="L31" s="30">
        <v>41.0</v>
      </c>
      <c r="M31" s="30">
        <v>6.0</v>
      </c>
      <c r="N31" s="30">
        <v>24.0</v>
      </c>
      <c r="O31" s="30">
        <v>0.0</v>
      </c>
      <c r="P31" s="33">
        <v>0.0</v>
      </c>
      <c r="Q31" s="33">
        <v>0.0</v>
      </c>
    </row>
    <row r="32" ht="13.5" customHeight="1">
      <c r="A32" s="31">
        <v>3795.0</v>
      </c>
      <c r="B32" s="32">
        <f t="shared" si="7"/>
        <v>82</v>
      </c>
      <c r="C32" s="32">
        <f t="shared" si="8"/>
        <v>136</v>
      </c>
      <c r="D32" s="32">
        <f t="shared" ref="D32:Q32" si="9">SUM(D33:D34)</f>
        <v>31</v>
      </c>
      <c r="E32" s="32">
        <f t="shared" si="9"/>
        <v>21</v>
      </c>
      <c r="F32" s="32">
        <f t="shared" si="9"/>
        <v>7</v>
      </c>
      <c r="G32" s="32">
        <f t="shared" si="9"/>
        <v>23</v>
      </c>
      <c r="H32" s="32">
        <f t="shared" si="9"/>
        <v>0</v>
      </c>
      <c r="I32" s="32">
        <f t="shared" si="9"/>
        <v>0</v>
      </c>
      <c r="J32" s="32">
        <f t="shared" si="9"/>
        <v>0</v>
      </c>
      <c r="K32" s="32">
        <f t="shared" si="9"/>
        <v>52</v>
      </c>
      <c r="L32" s="32">
        <f t="shared" si="9"/>
        <v>33</v>
      </c>
      <c r="M32" s="32">
        <f t="shared" si="9"/>
        <v>13</v>
      </c>
      <c r="N32" s="32">
        <f t="shared" si="9"/>
        <v>38</v>
      </c>
      <c r="O32" s="32">
        <f t="shared" si="9"/>
        <v>0</v>
      </c>
      <c r="P32" s="32">
        <f t="shared" si="9"/>
        <v>0</v>
      </c>
      <c r="Q32" s="32">
        <f t="shared" si="9"/>
        <v>0</v>
      </c>
      <c r="R32" s="14"/>
      <c r="S32" s="14"/>
      <c r="T32" s="14"/>
      <c r="U32" s="14"/>
      <c r="V32" s="14"/>
      <c r="W32" s="14"/>
      <c r="X32" s="14"/>
      <c r="Y32" s="14"/>
    </row>
    <row r="33" ht="13.5" customHeight="1">
      <c r="A33" s="30" t="s">
        <v>34</v>
      </c>
      <c r="B33" s="33">
        <f t="shared" si="7"/>
        <v>23</v>
      </c>
      <c r="C33" s="33">
        <f t="shared" si="8"/>
        <v>36</v>
      </c>
      <c r="D33" s="30">
        <v>9.0</v>
      </c>
      <c r="E33" s="30">
        <v>9.0</v>
      </c>
      <c r="F33" s="30">
        <v>1.0</v>
      </c>
      <c r="G33" s="30">
        <v>4.0</v>
      </c>
      <c r="H33" s="33">
        <v>0.0</v>
      </c>
      <c r="I33" s="33">
        <v>0.0</v>
      </c>
      <c r="J33" s="33">
        <v>0.0</v>
      </c>
      <c r="K33" s="30">
        <v>15.0</v>
      </c>
      <c r="L33" s="30">
        <v>14.0</v>
      </c>
      <c r="M33" s="30">
        <v>1.0</v>
      </c>
      <c r="N33" s="30">
        <v>6.0</v>
      </c>
      <c r="O33" s="30">
        <v>0.0</v>
      </c>
      <c r="P33" s="33">
        <v>0.0</v>
      </c>
      <c r="Q33" s="33">
        <v>0.0</v>
      </c>
    </row>
    <row r="34" ht="13.5" customHeight="1">
      <c r="A34" s="30" t="s">
        <v>35</v>
      </c>
      <c r="B34" s="33">
        <f t="shared" si="7"/>
        <v>59</v>
      </c>
      <c r="C34" s="33">
        <f t="shared" si="8"/>
        <v>100</v>
      </c>
      <c r="D34" s="30">
        <v>22.0</v>
      </c>
      <c r="E34" s="30">
        <v>12.0</v>
      </c>
      <c r="F34" s="30">
        <v>6.0</v>
      </c>
      <c r="G34" s="30">
        <v>19.0</v>
      </c>
      <c r="H34" s="33">
        <v>0.0</v>
      </c>
      <c r="I34" s="33">
        <v>0.0</v>
      </c>
      <c r="J34" s="33">
        <v>0.0</v>
      </c>
      <c r="K34" s="30">
        <v>37.0</v>
      </c>
      <c r="L34" s="30">
        <v>19.0</v>
      </c>
      <c r="M34" s="30">
        <v>12.0</v>
      </c>
      <c r="N34" s="30">
        <v>32.0</v>
      </c>
      <c r="O34" s="30">
        <v>0.0</v>
      </c>
      <c r="P34" s="33">
        <v>0.0</v>
      </c>
      <c r="Q34" s="33">
        <v>0.0</v>
      </c>
      <c r="R34" s="14"/>
      <c r="S34" s="14"/>
      <c r="T34" s="14"/>
      <c r="U34" s="14"/>
      <c r="V34" s="14"/>
      <c r="W34" s="14"/>
      <c r="X34" s="14"/>
      <c r="Y34" s="14"/>
    </row>
    <row r="35" ht="13.5" customHeight="1">
      <c r="A35" s="31">
        <v>3791.0</v>
      </c>
      <c r="B35" s="32">
        <f t="shared" si="7"/>
        <v>317</v>
      </c>
      <c r="C35" s="32">
        <f t="shared" si="8"/>
        <v>477</v>
      </c>
      <c r="D35" s="32">
        <f t="shared" ref="D35:Q35" si="10">SUM(D36:D38)</f>
        <v>141</v>
      </c>
      <c r="E35" s="32">
        <f t="shared" si="10"/>
        <v>113</v>
      </c>
      <c r="F35" s="32">
        <f t="shared" si="10"/>
        <v>18</v>
      </c>
      <c r="G35" s="32">
        <f t="shared" si="10"/>
        <v>45</v>
      </c>
      <c r="H35" s="32">
        <f t="shared" si="10"/>
        <v>0</v>
      </c>
      <c r="I35" s="32">
        <f t="shared" si="10"/>
        <v>0</v>
      </c>
      <c r="J35" s="32">
        <f t="shared" si="10"/>
        <v>0</v>
      </c>
      <c r="K35" s="32">
        <f t="shared" si="10"/>
        <v>205</v>
      </c>
      <c r="L35" s="32">
        <f t="shared" si="10"/>
        <v>180</v>
      </c>
      <c r="M35" s="32">
        <f t="shared" si="10"/>
        <v>30</v>
      </c>
      <c r="N35" s="32">
        <f t="shared" si="10"/>
        <v>62</v>
      </c>
      <c r="O35" s="32">
        <f t="shared" si="10"/>
        <v>0</v>
      </c>
      <c r="P35" s="32">
        <f t="shared" si="10"/>
        <v>0</v>
      </c>
      <c r="Q35" s="32">
        <f t="shared" si="10"/>
        <v>0</v>
      </c>
    </row>
    <row r="36" ht="13.5" customHeight="1">
      <c r="A36" s="30" t="s">
        <v>64</v>
      </c>
      <c r="B36" s="30">
        <f t="shared" si="7"/>
        <v>207</v>
      </c>
      <c r="C36" s="33">
        <f t="shared" si="8"/>
        <v>305</v>
      </c>
      <c r="D36" s="30">
        <v>84.0</v>
      </c>
      <c r="E36" s="30">
        <v>78.0</v>
      </c>
      <c r="F36" s="30">
        <v>10.0</v>
      </c>
      <c r="G36" s="30">
        <v>35.0</v>
      </c>
      <c r="H36" s="33">
        <v>0.0</v>
      </c>
      <c r="I36" s="33">
        <v>0.0</v>
      </c>
      <c r="J36" s="33">
        <v>0.0</v>
      </c>
      <c r="K36" s="30">
        <v>121.0</v>
      </c>
      <c r="L36" s="30">
        <v>121.0</v>
      </c>
      <c r="M36" s="30">
        <v>14.0</v>
      </c>
      <c r="N36" s="30">
        <v>49.0</v>
      </c>
      <c r="O36" s="30">
        <v>0.0</v>
      </c>
      <c r="P36" s="33">
        <v>0.0</v>
      </c>
      <c r="Q36" s="33">
        <v>0.0</v>
      </c>
    </row>
    <row r="37" ht="13.5" customHeight="1">
      <c r="A37" s="30" t="s">
        <v>36</v>
      </c>
      <c r="B37" s="30">
        <f t="shared" si="7"/>
        <v>73</v>
      </c>
      <c r="C37" s="33">
        <f t="shared" si="8"/>
        <v>111</v>
      </c>
      <c r="D37" s="30">
        <v>39.0</v>
      </c>
      <c r="E37" s="30">
        <v>21.0</v>
      </c>
      <c r="F37" s="30">
        <v>6.0</v>
      </c>
      <c r="G37" s="30">
        <v>7.0</v>
      </c>
      <c r="H37" s="33">
        <v>0.0</v>
      </c>
      <c r="I37" s="33">
        <v>0.0</v>
      </c>
      <c r="J37" s="33">
        <v>0.0</v>
      </c>
      <c r="K37" s="30">
        <v>55.0</v>
      </c>
      <c r="L37" s="30">
        <v>36.0</v>
      </c>
      <c r="M37" s="30">
        <v>12.0</v>
      </c>
      <c r="N37" s="30">
        <v>8.0</v>
      </c>
      <c r="O37" s="30">
        <v>0.0</v>
      </c>
      <c r="P37" s="33">
        <v>0.0</v>
      </c>
      <c r="Q37" s="33">
        <v>0.0</v>
      </c>
    </row>
    <row r="38" ht="13.5" customHeight="1">
      <c r="A38" s="30" t="s">
        <v>37</v>
      </c>
      <c r="B38" s="30">
        <f t="shared" si="7"/>
        <v>37</v>
      </c>
      <c r="C38" s="33">
        <f t="shared" si="8"/>
        <v>61</v>
      </c>
      <c r="D38" s="30">
        <v>18.0</v>
      </c>
      <c r="E38" s="30">
        <v>14.0</v>
      </c>
      <c r="F38" s="30">
        <v>2.0</v>
      </c>
      <c r="G38" s="30">
        <v>3.0</v>
      </c>
      <c r="H38" s="33">
        <v>0.0</v>
      </c>
      <c r="I38" s="33">
        <v>0.0</v>
      </c>
      <c r="J38" s="33">
        <v>0.0</v>
      </c>
      <c r="K38" s="30">
        <v>29.0</v>
      </c>
      <c r="L38" s="30">
        <v>23.0</v>
      </c>
      <c r="M38" s="30">
        <v>4.0</v>
      </c>
      <c r="N38" s="30">
        <v>5.0</v>
      </c>
      <c r="O38" s="30">
        <v>0.0</v>
      </c>
      <c r="P38" s="33">
        <v>0.0</v>
      </c>
      <c r="Q38" s="33">
        <v>0.0</v>
      </c>
    </row>
    <row r="39" ht="13.5" customHeight="1">
      <c r="A39" s="19" t="s">
        <v>39</v>
      </c>
      <c r="B39" s="20">
        <f t="shared" ref="B39:Q39" si="11">B4+B28+B32+B35</f>
        <v>1783</v>
      </c>
      <c r="C39" s="20">
        <f t="shared" si="11"/>
        <v>2543</v>
      </c>
      <c r="D39" s="20">
        <f t="shared" si="11"/>
        <v>904</v>
      </c>
      <c r="E39" s="20">
        <f t="shared" si="11"/>
        <v>547</v>
      </c>
      <c r="F39" s="20">
        <f t="shared" si="11"/>
        <v>133</v>
      </c>
      <c r="G39" s="20">
        <f t="shared" si="11"/>
        <v>192</v>
      </c>
      <c r="H39" s="20">
        <f t="shared" si="11"/>
        <v>2</v>
      </c>
      <c r="I39" s="20">
        <f t="shared" si="11"/>
        <v>4</v>
      </c>
      <c r="J39" s="20">
        <f t="shared" si="11"/>
        <v>1</v>
      </c>
      <c r="K39" s="20">
        <f t="shared" si="11"/>
        <v>1286</v>
      </c>
      <c r="L39" s="20">
        <f t="shared" si="11"/>
        <v>806</v>
      </c>
      <c r="M39" s="20">
        <f t="shared" si="11"/>
        <v>192</v>
      </c>
      <c r="N39" s="20">
        <f t="shared" si="11"/>
        <v>251</v>
      </c>
      <c r="O39" s="20">
        <f t="shared" si="11"/>
        <v>2</v>
      </c>
      <c r="P39" s="20">
        <f t="shared" si="11"/>
        <v>5</v>
      </c>
      <c r="Q39" s="20">
        <f t="shared" si="11"/>
        <v>1</v>
      </c>
    </row>
    <row r="40" ht="13.5" customHeight="1">
      <c r="R40" s="14"/>
      <c r="S40" s="14"/>
      <c r="T40" s="14"/>
      <c r="U40" s="14"/>
      <c r="V40" s="14"/>
      <c r="W40" s="14"/>
      <c r="X40" s="14"/>
      <c r="Y40" s="14"/>
    </row>
    <row r="41" ht="13.5" customHeight="1">
      <c r="A41" s="21" t="s">
        <v>40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3"/>
    </row>
    <row r="42" ht="13.5" customHeight="1">
      <c r="A42" s="24" t="s">
        <v>41</v>
      </c>
      <c r="B42" s="29" t="s">
        <v>6</v>
      </c>
      <c r="C42" s="8"/>
      <c r="D42" s="29" t="s">
        <v>7</v>
      </c>
      <c r="E42" s="8"/>
      <c r="F42" s="29" t="s">
        <v>8</v>
      </c>
      <c r="G42" s="8"/>
      <c r="H42" s="29" t="s">
        <v>9</v>
      </c>
      <c r="I42" s="8"/>
      <c r="J42" s="29" t="s">
        <v>55</v>
      </c>
      <c r="K42" s="8"/>
      <c r="L42" s="25" t="s">
        <v>56</v>
      </c>
      <c r="M42" s="25" t="s">
        <v>57</v>
      </c>
    </row>
    <row r="43" ht="13.5" customHeight="1">
      <c r="A43" s="11"/>
      <c r="B43" s="25" t="s">
        <v>45</v>
      </c>
      <c r="C43" s="25" t="s">
        <v>46</v>
      </c>
      <c r="D43" s="25" t="s">
        <v>45</v>
      </c>
      <c r="E43" s="25" t="s">
        <v>46</v>
      </c>
      <c r="F43" s="25" t="s">
        <v>45</v>
      </c>
      <c r="G43" s="25" t="s">
        <v>46</v>
      </c>
      <c r="H43" s="25" t="s">
        <v>45</v>
      </c>
      <c r="I43" s="25" t="s">
        <v>46</v>
      </c>
      <c r="J43" s="25" t="s">
        <v>58</v>
      </c>
      <c r="K43" s="25" t="s">
        <v>46</v>
      </c>
      <c r="L43" s="25"/>
      <c r="M43" s="25"/>
    </row>
    <row r="44" ht="13.5" customHeight="1">
      <c r="A44" s="34" t="s">
        <v>47</v>
      </c>
      <c r="B44" s="34">
        <v>589.0</v>
      </c>
      <c r="C44" s="34">
        <v>1013.0</v>
      </c>
      <c r="D44" s="34">
        <v>310.0</v>
      </c>
      <c r="E44" s="34">
        <v>537.0</v>
      </c>
      <c r="F44" s="34">
        <v>72.0</v>
      </c>
      <c r="G44" s="34">
        <v>132.0</v>
      </c>
      <c r="H44" s="34">
        <v>95.0</v>
      </c>
      <c r="I44" s="34">
        <v>145.0</v>
      </c>
      <c r="J44" s="34">
        <v>3.0</v>
      </c>
      <c r="K44" s="34">
        <v>4.0</v>
      </c>
      <c r="L44" s="34">
        <f t="shared" ref="L44:L46" si="12">B44+D44+F44+J44+H44</f>
        <v>1069</v>
      </c>
      <c r="M44" s="34">
        <f t="shared" ref="M44:M46" si="13">C44+E44+G44+I44+K44</f>
        <v>1831</v>
      </c>
    </row>
    <row r="45" ht="15.0" customHeight="1">
      <c r="A45" s="34" t="s">
        <v>65</v>
      </c>
      <c r="B45" s="34">
        <v>84.0</v>
      </c>
      <c r="C45" s="34">
        <v>121.0</v>
      </c>
      <c r="D45" s="34">
        <v>77.0</v>
      </c>
      <c r="E45" s="34">
        <v>119.0</v>
      </c>
      <c r="F45" s="34">
        <v>10.0</v>
      </c>
      <c r="G45" s="34">
        <v>14.0</v>
      </c>
      <c r="H45" s="34">
        <v>36.0</v>
      </c>
      <c r="I45" s="34">
        <v>51.0</v>
      </c>
      <c r="J45" s="34">
        <v>0.0</v>
      </c>
      <c r="K45" s="34">
        <v>0.0</v>
      </c>
      <c r="L45" s="34">
        <f t="shared" si="12"/>
        <v>207</v>
      </c>
      <c r="M45" s="34">
        <f t="shared" si="13"/>
        <v>305</v>
      </c>
    </row>
    <row r="46" ht="15.0" customHeight="1">
      <c r="A46" s="34" t="s">
        <v>66</v>
      </c>
      <c r="B46" s="34">
        <v>190.0</v>
      </c>
      <c r="C46" s="34">
        <v>193.0</v>
      </c>
      <c r="D46" s="34">
        <v>151.0</v>
      </c>
      <c r="E46" s="34">
        <v>154.0</v>
      </c>
      <c r="F46" s="34">
        <v>43.0</v>
      </c>
      <c r="G46" s="34">
        <v>43.0</v>
      </c>
      <c r="H46" s="34">
        <v>16.0</v>
      </c>
      <c r="I46" s="34">
        <v>16.0</v>
      </c>
      <c r="J46" s="34">
        <v>1.0</v>
      </c>
      <c r="K46" s="34">
        <v>1.0</v>
      </c>
      <c r="L46" s="34">
        <f t="shared" si="12"/>
        <v>401</v>
      </c>
      <c r="M46" s="34">
        <f t="shared" si="13"/>
        <v>407</v>
      </c>
    </row>
    <row r="47" ht="13.5" customHeight="1">
      <c r="A47" s="28" t="s">
        <v>49</v>
      </c>
      <c r="B47" s="28">
        <f t="shared" ref="B47:M47" si="14">SUM(B44:B46)</f>
        <v>863</v>
      </c>
      <c r="C47" s="28">
        <f t="shared" si="14"/>
        <v>1327</v>
      </c>
      <c r="D47" s="28">
        <f t="shared" si="14"/>
        <v>538</v>
      </c>
      <c r="E47" s="28">
        <f t="shared" si="14"/>
        <v>810</v>
      </c>
      <c r="F47" s="28">
        <f t="shared" si="14"/>
        <v>125</v>
      </c>
      <c r="G47" s="28">
        <f t="shared" si="14"/>
        <v>189</v>
      </c>
      <c r="H47" s="28">
        <f t="shared" si="14"/>
        <v>147</v>
      </c>
      <c r="I47" s="28">
        <f t="shared" si="14"/>
        <v>212</v>
      </c>
      <c r="J47" s="28">
        <f t="shared" si="14"/>
        <v>4</v>
      </c>
      <c r="K47" s="28">
        <f t="shared" si="14"/>
        <v>5</v>
      </c>
      <c r="L47" s="28">
        <f t="shared" si="14"/>
        <v>1677</v>
      </c>
      <c r="M47" s="28">
        <f t="shared" si="14"/>
        <v>2543</v>
      </c>
    </row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13">
    <mergeCell ref="A42:A43"/>
    <mergeCell ref="B42:C42"/>
    <mergeCell ref="D42:E42"/>
    <mergeCell ref="F42:G42"/>
    <mergeCell ref="H42:I42"/>
    <mergeCell ref="J42:K42"/>
    <mergeCell ref="A1:Q1"/>
    <mergeCell ref="A2:A3"/>
    <mergeCell ref="B2:B3"/>
    <mergeCell ref="C2:C3"/>
    <mergeCell ref="D2:J2"/>
    <mergeCell ref="K2:Q2"/>
    <mergeCell ref="A41:M41"/>
  </mergeCells>
  <printOptions/>
  <pageMargins bottom="0.984027777777778" footer="0.0" header="0.0" left="0.747916666666667" right="0.747916666666667" top="0.984027777777778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</row>
    <row r="2">
      <c r="A2" s="44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</row>
    <row r="3">
      <c r="A3" s="45"/>
      <c r="B3" s="46" t="s">
        <v>6</v>
      </c>
      <c r="C3" s="47"/>
      <c r="D3" s="48" t="s">
        <v>7</v>
      </c>
      <c r="E3" s="47"/>
      <c r="F3" s="48" t="s">
        <v>8</v>
      </c>
      <c r="G3" s="47"/>
      <c r="H3" s="48" t="s">
        <v>9</v>
      </c>
      <c r="I3" s="47"/>
      <c r="J3" s="48" t="s">
        <v>74</v>
      </c>
      <c r="K3" s="47"/>
      <c r="L3" s="49" t="s">
        <v>10</v>
      </c>
      <c r="M3" s="8"/>
      <c r="N3" s="50" t="s">
        <v>82</v>
      </c>
      <c r="O3" s="50" t="s">
        <v>83</v>
      </c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</row>
    <row r="4">
      <c r="A4" s="51" t="s">
        <v>1</v>
      </c>
      <c r="B4" s="52" t="s">
        <v>45</v>
      </c>
      <c r="C4" s="51" t="s">
        <v>46</v>
      </c>
      <c r="D4" s="52" t="s">
        <v>45</v>
      </c>
      <c r="E4" s="52" t="s">
        <v>46</v>
      </c>
      <c r="F4" s="52" t="s">
        <v>45</v>
      </c>
      <c r="G4" s="52" t="s">
        <v>46</v>
      </c>
      <c r="H4" s="52" t="s">
        <v>45</v>
      </c>
      <c r="I4" s="52" t="s">
        <v>46</v>
      </c>
      <c r="J4" s="52" t="s">
        <v>45</v>
      </c>
      <c r="K4" s="52" t="s">
        <v>46</v>
      </c>
      <c r="L4" s="52" t="s">
        <v>45</v>
      </c>
      <c r="M4" s="52" t="s">
        <v>46</v>
      </c>
      <c r="N4" s="47"/>
      <c r="O4" s="5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</row>
    <row r="5">
      <c r="A5" s="54">
        <v>3792.0</v>
      </c>
      <c r="B5" s="55">
        <v>1098.0</v>
      </c>
      <c r="C5" s="55">
        <v>1324.0</v>
      </c>
      <c r="D5" s="55">
        <v>460.0</v>
      </c>
      <c r="E5" s="55">
        <v>580.0</v>
      </c>
      <c r="F5" s="55">
        <v>54.0</v>
      </c>
      <c r="G5" s="55">
        <v>87.0</v>
      </c>
      <c r="H5" s="55">
        <v>55.0</v>
      </c>
      <c r="I5" s="55">
        <v>70.0</v>
      </c>
      <c r="J5" s="55">
        <v>2.0</v>
      </c>
      <c r="K5" s="55">
        <v>2.0</v>
      </c>
      <c r="L5" s="55">
        <v>13.0</v>
      </c>
      <c r="M5" s="55">
        <v>130.0</v>
      </c>
      <c r="N5" s="56">
        <v>1682.0</v>
      </c>
      <c r="O5" s="56">
        <v>2193.0</v>
      </c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</row>
    <row r="6">
      <c r="A6" s="57" t="s">
        <v>11</v>
      </c>
      <c r="B6" s="57"/>
      <c r="C6" s="57"/>
      <c r="D6" s="57"/>
      <c r="E6" s="57"/>
      <c r="F6" s="57"/>
      <c r="G6" s="57"/>
      <c r="H6" s="57"/>
      <c r="I6" s="57"/>
      <c r="J6" s="57"/>
      <c r="K6" s="57"/>
      <c r="L6" s="58">
        <v>4.0</v>
      </c>
      <c r="M6" s="58">
        <v>70.0</v>
      </c>
      <c r="N6" s="59">
        <v>4.0</v>
      </c>
      <c r="O6" s="59">
        <v>70.0</v>
      </c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</row>
    <row r="7">
      <c r="A7" s="57" t="s">
        <v>61</v>
      </c>
      <c r="B7" s="57"/>
      <c r="C7" s="57"/>
      <c r="D7" s="57"/>
      <c r="E7" s="57"/>
      <c r="F7" s="57"/>
      <c r="G7" s="57"/>
      <c r="H7" s="57"/>
      <c r="I7" s="57"/>
      <c r="J7" s="57"/>
      <c r="K7" s="57"/>
      <c r="L7" s="58">
        <v>2.0</v>
      </c>
      <c r="M7" s="58">
        <v>50.0</v>
      </c>
      <c r="N7" s="59">
        <v>2.0</v>
      </c>
      <c r="O7" s="59">
        <v>50.0</v>
      </c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</row>
    <row r="8">
      <c r="A8" s="57" t="s">
        <v>12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8">
        <v>2.0</v>
      </c>
      <c r="M8" s="58">
        <v>4.0</v>
      </c>
      <c r="N8" s="59">
        <v>2.0</v>
      </c>
      <c r="O8" s="59">
        <v>4.0</v>
      </c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>
      <c r="A9" s="57" t="s">
        <v>13</v>
      </c>
      <c r="B9" s="58">
        <v>21.0</v>
      </c>
      <c r="C9" s="58">
        <v>35.0</v>
      </c>
      <c r="D9" s="58">
        <v>9.0</v>
      </c>
      <c r="E9" s="58">
        <v>17.0</v>
      </c>
      <c r="F9" s="57"/>
      <c r="G9" s="57"/>
      <c r="H9" s="58">
        <v>2.0</v>
      </c>
      <c r="I9" s="58">
        <v>4.0</v>
      </c>
      <c r="J9" s="57"/>
      <c r="K9" s="57"/>
      <c r="L9" s="57"/>
      <c r="M9" s="57"/>
      <c r="N9" s="59">
        <v>32.0</v>
      </c>
      <c r="O9" s="59">
        <v>56.0</v>
      </c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</row>
    <row r="10">
      <c r="A10" s="57" t="s">
        <v>14</v>
      </c>
      <c r="B10" s="58">
        <v>41.0</v>
      </c>
      <c r="C10" s="58">
        <v>65.0</v>
      </c>
      <c r="D10" s="58">
        <v>31.0</v>
      </c>
      <c r="E10" s="58">
        <v>47.0</v>
      </c>
      <c r="F10" s="58">
        <v>4.0</v>
      </c>
      <c r="G10" s="58">
        <v>7.0</v>
      </c>
      <c r="H10" s="57"/>
      <c r="I10" s="57"/>
      <c r="J10" s="57"/>
      <c r="K10" s="57"/>
      <c r="L10" s="57"/>
      <c r="M10" s="57"/>
      <c r="N10" s="59">
        <v>76.0</v>
      </c>
      <c r="O10" s="59">
        <v>119.0</v>
      </c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</row>
    <row r="11">
      <c r="A11" s="57" t="s">
        <v>15</v>
      </c>
      <c r="B11" s="58">
        <v>6.0</v>
      </c>
      <c r="C11" s="58">
        <v>8.0</v>
      </c>
      <c r="D11" s="58">
        <v>4.0</v>
      </c>
      <c r="E11" s="58">
        <v>7.0</v>
      </c>
      <c r="F11" s="58">
        <v>3.0</v>
      </c>
      <c r="G11" s="58">
        <v>3.0</v>
      </c>
      <c r="H11" s="58">
        <v>2.0</v>
      </c>
      <c r="I11" s="58">
        <v>2.0</v>
      </c>
      <c r="J11" s="57"/>
      <c r="K11" s="57"/>
      <c r="L11" s="57"/>
      <c r="M11" s="57"/>
      <c r="N11" s="59">
        <v>15.0</v>
      </c>
      <c r="O11" s="59">
        <v>20.0</v>
      </c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</row>
    <row r="12">
      <c r="A12" s="57" t="s">
        <v>16</v>
      </c>
      <c r="B12" s="58">
        <v>7.0</v>
      </c>
      <c r="C12" s="58">
        <v>11.0</v>
      </c>
      <c r="D12" s="58">
        <v>2.0</v>
      </c>
      <c r="E12" s="58">
        <v>3.0</v>
      </c>
      <c r="F12" s="58">
        <v>2.0</v>
      </c>
      <c r="G12" s="58">
        <v>4.0</v>
      </c>
      <c r="H12" s="58">
        <v>1.0</v>
      </c>
      <c r="I12" s="58">
        <v>1.0</v>
      </c>
      <c r="J12" s="57"/>
      <c r="K12" s="57"/>
      <c r="L12" s="57"/>
      <c r="M12" s="57"/>
      <c r="N12" s="59">
        <v>12.0</v>
      </c>
      <c r="O12" s="59">
        <v>19.0</v>
      </c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>
      <c r="A13" s="57" t="s">
        <v>17</v>
      </c>
      <c r="B13" s="58">
        <v>15.0</v>
      </c>
      <c r="C13" s="58">
        <v>24.0</v>
      </c>
      <c r="D13" s="58">
        <v>7.0</v>
      </c>
      <c r="E13" s="58">
        <v>11.0</v>
      </c>
      <c r="F13" s="58">
        <v>2.0</v>
      </c>
      <c r="G13" s="58">
        <v>3.0</v>
      </c>
      <c r="H13" s="58">
        <v>1.0</v>
      </c>
      <c r="I13" s="58">
        <v>2.0</v>
      </c>
      <c r="J13" s="57"/>
      <c r="K13" s="57"/>
      <c r="L13" s="57"/>
      <c r="M13" s="57"/>
      <c r="N13" s="59">
        <v>25.0</v>
      </c>
      <c r="O13" s="59">
        <v>40.0</v>
      </c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</row>
    <row r="14">
      <c r="A14" s="57" t="s">
        <v>53</v>
      </c>
      <c r="B14" s="57"/>
      <c r="C14" s="57"/>
      <c r="D14" s="57"/>
      <c r="E14" s="57"/>
      <c r="F14" s="57"/>
      <c r="G14" s="57"/>
      <c r="H14" s="57"/>
      <c r="I14" s="57"/>
      <c r="J14" s="57"/>
      <c r="K14" s="57"/>
      <c r="L14" s="58">
        <v>3.0</v>
      </c>
      <c r="M14" s="58">
        <v>4.0</v>
      </c>
      <c r="N14" s="59">
        <v>3.0</v>
      </c>
      <c r="O14" s="59">
        <v>4.0</v>
      </c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>
      <c r="A15" s="57" t="s">
        <v>84</v>
      </c>
      <c r="B15" s="57"/>
      <c r="C15" s="57"/>
      <c r="D15" s="57"/>
      <c r="E15" s="57"/>
      <c r="F15" s="57"/>
      <c r="G15" s="57"/>
      <c r="H15" s="57"/>
      <c r="I15" s="57"/>
      <c r="J15" s="57"/>
      <c r="K15" s="57"/>
      <c r="L15" s="58">
        <v>1.0</v>
      </c>
      <c r="M15" s="58">
        <v>1.0</v>
      </c>
      <c r="N15" s="59">
        <v>1.0</v>
      </c>
      <c r="O15" s="59">
        <v>1.0</v>
      </c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</row>
    <row r="16">
      <c r="A16" s="57" t="s">
        <v>18</v>
      </c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8">
        <v>1.0</v>
      </c>
      <c r="M16" s="58">
        <v>1.0</v>
      </c>
      <c r="N16" s="59">
        <v>1.0</v>
      </c>
      <c r="O16" s="59">
        <v>1.0</v>
      </c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</row>
    <row r="17">
      <c r="A17" s="57" t="s">
        <v>20</v>
      </c>
      <c r="B17" s="58">
        <v>38.0</v>
      </c>
      <c r="C17" s="58">
        <v>50.0</v>
      </c>
      <c r="D17" s="58">
        <v>16.0</v>
      </c>
      <c r="E17" s="58">
        <v>23.0</v>
      </c>
      <c r="F17" s="58">
        <v>7.0</v>
      </c>
      <c r="G17" s="58">
        <v>10.0</v>
      </c>
      <c r="H17" s="58">
        <v>2.0</v>
      </c>
      <c r="I17" s="58">
        <v>4.0</v>
      </c>
      <c r="J17" s="57"/>
      <c r="K17" s="57"/>
      <c r="L17" s="57"/>
      <c r="M17" s="57"/>
      <c r="N17" s="59">
        <v>63.0</v>
      </c>
      <c r="O17" s="59">
        <v>87.0</v>
      </c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>
      <c r="A18" s="57" t="s">
        <v>21</v>
      </c>
      <c r="B18" s="58">
        <v>19.0</v>
      </c>
      <c r="C18" s="58">
        <v>30.0</v>
      </c>
      <c r="D18" s="58">
        <v>10.0</v>
      </c>
      <c r="E18" s="58">
        <v>15.0</v>
      </c>
      <c r="F18" s="58">
        <v>2.0</v>
      </c>
      <c r="G18" s="58">
        <v>2.0</v>
      </c>
      <c r="H18" s="58">
        <v>4.0</v>
      </c>
      <c r="I18" s="58">
        <v>4.0</v>
      </c>
      <c r="J18" s="57"/>
      <c r="K18" s="57"/>
      <c r="L18" s="57"/>
      <c r="M18" s="57"/>
      <c r="N18" s="59">
        <v>35.0</v>
      </c>
      <c r="O18" s="59">
        <v>51.0</v>
      </c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>
      <c r="A19" s="57" t="s">
        <v>22</v>
      </c>
      <c r="B19" s="58">
        <v>74.0</v>
      </c>
      <c r="C19" s="58">
        <v>115.0</v>
      </c>
      <c r="D19" s="58">
        <v>33.0</v>
      </c>
      <c r="E19" s="58">
        <v>57.0</v>
      </c>
      <c r="F19" s="58">
        <v>8.0</v>
      </c>
      <c r="G19" s="58">
        <v>13.0</v>
      </c>
      <c r="H19" s="58">
        <v>7.0</v>
      </c>
      <c r="I19" s="58">
        <v>10.0</v>
      </c>
      <c r="J19" s="57"/>
      <c r="K19" s="57"/>
      <c r="L19" s="57"/>
      <c r="M19" s="57"/>
      <c r="N19" s="59">
        <v>122.0</v>
      </c>
      <c r="O19" s="59">
        <v>195.0</v>
      </c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</row>
    <row r="20">
      <c r="A20" s="57" t="s">
        <v>23</v>
      </c>
      <c r="B20" s="58">
        <v>3.0</v>
      </c>
      <c r="C20" s="58">
        <v>5.0</v>
      </c>
      <c r="D20" s="58">
        <v>5.0</v>
      </c>
      <c r="E20" s="58">
        <v>9.0</v>
      </c>
      <c r="F20" s="58">
        <v>7.0</v>
      </c>
      <c r="G20" s="58">
        <v>15.0</v>
      </c>
      <c r="H20" s="58">
        <v>1.0</v>
      </c>
      <c r="I20" s="58">
        <v>1.0</v>
      </c>
      <c r="J20" s="57"/>
      <c r="K20" s="57"/>
      <c r="L20" s="57"/>
      <c r="M20" s="57"/>
      <c r="N20" s="59">
        <v>16.0</v>
      </c>
      <c r="O20" s="59">
        <v>30.0</v>
      </c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</row>
    <row r="21">
      <c r="A21" s="57" t="s">
        <v>24</v>
      </c>
      <c r="B21" s="58">
        <v>33.0</v>
      </c>
      <c r="C21" s="58">
        <v>49.0</v>
      </c>
      <c r="D21" s="58">
        <v>23.0</v>
      </c>
      <c r="E21" s="58">
        <v>33.0</v>
      </c>
      <c r="F21" s="58">
        <v>5.0</v>
      </c>
      <c r="G21" s="58">
        <v>8.0</v>
      </c>
      <c r="H21" s="58">
        <v>5.0</v>
      </c>
      <c r="I21" s="58">
        <v>6.0</v>
      </c>
      <c r="J21" s="57"/>
      <c r="K21" s="57"/>
      <c r="L21" s="57"/>
      <c r="M21" s="57"/>
      <c r="N21" s="59">
        <v>66.0</v>
      </c>
      <c r="O21" s="59">
        <v>96.0</v>
      </c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>
      <c r="A22" s="57" t="s">
        <v>25</v>
      </c>
      <c r="B22" s="58">
        <v>21.0</v>
      </c>
      <c r="C22" s="58">
        <v>27.0</v>
      </c>
      <c r="D22" s="58">
        <v>19.0</v>
      </c>
      <c r="E22" s="58">
        <v>25.0</v>
      </c>
      <c r="F22" s="58">
        <v>4.0</v>
      </c>
      <c r="G22" s="58">
        <v>6.0</v>
      </c>
      <c r="H22" s="58">
        <v>5.0</v>
      </c>
      <c r="I22" s="58">
        <v>6.0</v>
      </c>
      <c r="J22" s="57"/>
      <c r="K22" s="57"/>
      <c r="L22" s="57"/>
      <c r="M22" s="57"/>
      <c r="N22" s="59">
        <v>49.0</v>
      </c>
      <c r="O22" s="59">
        <v>64.0</v>
      </c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>
      <c r="A23" s="57" t="s">
        <v>26</v>
      </c>
      <c r="B23" s="58">
        <v>18.0</v>
      </c>
      <c r="C23" s="58">
        <v>28.0</v>
      </c>
      <c r="D23" s="58">
        <v>8.0</v>
      </c>
      <c r="E23" s="58">
        <v>9.0</v>
      </c>
      <c r="F23" s="58">
        <v>3.0</v>
      </c>
      <c r="G23" s="58">
        <v>5.0</v>
      </c>
      <c r="H23" s="58">
        <v>1.0</v>
      </c>
      <c r="I23" s="58">
        <v>1.0</v>
      </c>
      <c r="J23" s="57"/>
      <c r="K23" s="57"/>
      <c r="L23" s="57"/>
      <c r="M23" s="57"/>
      <c r="N23" s="59">
        <v>30.0</v>
      </c>
      <c r="O23" s="59">
        <v>43.0</v>
      </c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>
      <c r="A24" s="57" t="s">
        <v>27</v>
      </c>
      <c r="B24" s="58">
        <v>54.0</v>
      </c>
      <c r="C24" s="58">
        <v>84.0</v>
      </c>
      <c r="D24" s="58">
        <v>23.0</v>
      </c>
      <c r="E24" s="58">
        <v>33.0</v>
      </c>
      <c r="F24" s="58">
        <v>2.0</v>
      </c>
      <c r="G24" s="58">
        <v>3.0</v>
      </c>
      <c r="H24" s="58">
        <v>5.0</v>
      </c>
      <c r="I24" s="58">
        <v>6.0</v>
      </c>
      <c r="J24" s="57"/>
      <c r="K24" s="57"/>
      <c r="L24" s="57"/>
      <c r="M24" s="57"/>
      <c r="N24" s="59">
        <v>84.0</v>
      </c>
      <c r="O24" s="59">
        <v>126.0</v>
      </c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</row>
    <row r="25">
      <c r="A25" s="57" t="s">
        <v>28</v>
      </c>
      <c r="B25" s="58">
        <v>12.0</v>
      </c>
      <c r="C25" s="58">
        <v>15.0</v>
      </c>
      <c r="D25" s="58">
        <v>10.0</v>
      </c>
      <c r="E25" s="58">
        <v>14.0</v>
      </c>
      <c r="F25" s="57"/>
      <c r="G25" s="57"/>
      <c r="H25" s="58">
        <v>2.0</v>
      </c>
      <c r="I25" s="58">
        <v>3.0</v>
      </c>
      <c r="J25" s="57"/>
      <c r="K25" s="57"/>
      <c r="L25" s="57"/>
      <c r="M25" s="57"/>
      <c r="N25" s="59">
        <v>24.0</v>
      </c>
      <c r="O25" s="59">
        <v>32.0</v>
      </c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>
      <c r="A26" s="57" t="s">
        <v>29</v>
      </c>
      <c r="B26" s="58">
        <v>33.0</v>
      </c>
      <c r="C26" s="58">
        <v>51.0</v>
      </c>
      <c r="D26" s="58">
        <v>17.0</v>
      </c>
      <c r="E26" s="58">
        <v>24.0</v>
      </c>
      <c r="F26" s="58">
        <v>3.0</v>
      </c>
      <c r="G26" s="58">
        <v>6.0</v>
      </c>
      <c r="H26" s="58">
        <v>6.0</v>
      </c>
      <c r="I26" s="58">
        <v>8.0</v>
      </c>
      <c r="J26" s="57"/>
      <c r="K26" s="57"/>
      <c r="L26" s="57"/>
      <c r="M26" s="57"/>
      <c r="N26" s="59">
        <v>59.0</v>
      </c>
      <c r="O26" s="59">
        <v>89.0</v>
      </c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>
      <c r="A27" s="57" t="s">
        <v>30</v>
      </c>
      <c r="B27" s="58">
        <v>536.0</v>
      </c>
      <c r="C27" s="58">
        <v>546.0</v>
      </c>
      <c r="D27" s="58">
        <v>195.0</v>
      </c>
      <c r="E27" s="58">
        <v>200.0</v>
      </c>
      <c r="F27" s="58">
        <v>1.0</v>
      </c>
      <c r="G27" s="58">
        <v>1.0</v>
      </c>
      <c r="H27" s="58">
        <v>3.0</v>
      </c>
      <c r="I27" s="58">
        <v>4.0</v>
      </c>
      <c r="J27" s="57"/>
      <c r="K27" s="57"/>
      <c r="L27" s="57"/>
      <c r="M27" s="57"/>
      <c r="N27" s="59">
        <v>735.0</v>
      </c>
      <c r="O27" s="59">
        <v>751.0</v>
      </c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>
      <c r="A28" s="57" t="s">
        <v>85</v>
      </c>
      <c r="B28" s="58">
        <v>62.0</v>
      </c>
      <c r="C28" s="58">
        <v>74.0</v>
      </c>
      <c r="D28" s="58">
        <v>16.0</v>
      </c>
      <c r="E28" s="58">
        <v>21.0</v>
      </c>
      <c r="F28" s="57"/>
      <c r="G28" s="57"/>
      <c r="H28" s="57"/>
      <c r="I28" s="57"/>
      <c r="J28" s="57"/>
      <c r="K28" s="57"/>
      <c r="L28" s="57"/>
      <c r="M28" s="57"/>
      <c r="N28" s="59">
        <v>78.0</v>
      </c>
      <c r="O28" s="59">
        <v>95.0</v>
      </c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</row>
    <row r="29">
      <c r="A29" s="57" t="s">
        <v>86</v>
      </c>
      <c r="B29" s="58">
        <v>99.0</v>
      </c>
      <c r="C29" s="58">
        <v>101.0</v>
      </c>
      <c r="D29" s="58">
        <v>30.0</v>
      </c>
      <c r="E29" s="58">
        <v>30.0</v>
      </c>
      <c r="F29" s="58">
        <v>1.0</v>
      </c>
      <c r="G29" s="58">
        <v>1.0</v>
      </c>
      <c r="H29" s="57"/>
      <c r="I29" s="57"/>
      <c r="J29" s="57"/>
      <c r="K29" s="57"/>
      <c r="L29" s="57"/>
      <c r="M29" s="57"/>
      <c r="N29" s="59">
        <v>130.0</v>
      </c>
      <c r="O29" s="59">
        <v>132.0</v>
      </c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>
      <c r="A30" s="57" t="s">
        <v>81</v>
      </c>
      <c r="B30" s="58">
        <v>6.0</v>
      </c>
      <c r="C30" s="58">
        <v>6.0</v>
      </c>
      <c r="D30" s="58">
        <v>2.0</v>
      </c>
      <c r="E30" s="58">
        <v>2.0</v>
      </c>
      <c r="F30" s="57"/>
      <c r="G30" s="57"/>
      <c r="H30" s="58">
        <v>8.0</v>
      </c>
      <c r="I30" s="58">
        <v>8.0</v>
      </c>
      <c r="J30" s="58">
        <v>2.0</v>
      </c>
      <c r="K30" s="58">
        <v>2.0</v>
      </c>
      <c r="L30" s="57"/>
      <c r="M30" s="57"/>
      <c r="N30" s="59">
        <v>18.0</v>
      </c>
      <c r="O30" s="59">
        <v>18.0</v>
      </c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>
      <c r="A31" s="54">
        <v>3794.0</v>
      </c>
      <c r="B31" s="55">
        <v>130.0</v>
      </c>
      <c r="C31" s="55">
        <v>184.0</v>
      </c>
      <c r="D31" s="55">
        <v>53.0</v>
      </c>
      <c r="E31" s="55">
        <v>80.0</v>
      </c>
      <c r="F31" s="55">
        <v>7.0</v>
      </c>
      <c r="G31" s="55">
        <v>12.0</v>
      </c>
      <c r="H31" s="55">
        <v>23.0</v>
      </c>
      <c r="I31" s="55">
        <v>36.0</v>
      </c>
      <c r="J31" s="57"/>
      <c r="K31" s="57"/>
      <c r="L31" s="57"/>
      <c r="M31" s="57"/>
      <c r="N31" s="56">
        <v>213.0</v>
      </c>
      <c r="O31" s="56">
        <v>312.0</v>
      </c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</row>
    <row r="32">
      <c r="A32" s="57" t="s">
        <v>31</v>
      </c>
      <c r="B32" s="58">
        <v>26.0</v>
      </c>
      <c r="C32" s="58">
        <v>42.0</v>
      </c>
      <c r="D32" s="58">
        <v>11.0</v>
      </c>
      <c r="E32" s="58">
        <v>17.0</v>
      </c>
      <c r="F32" s="58">
        <v>3.0</v>
      </c>
      <c r="G32" s="58">
        <v>5.0</v>
      </c>
      <c r="H32" s="58">
        <v>6.0</v>
      </c>
      <c r="I32" s="58">
        <v>9.0</v>
      </c>
      <c r="J32" s="57"/>
      <c r="K32" s="57"/>
      <c r="L32" s="57"/>
      <c r="M32" s="57"/>
      <c r="N32" s="59">
        <v>46.0</v>
      </c>
      <c r="O32" s="59">
        <v>73.0</v>
      </c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>
      <c r="A33" s="57" t="s">
        <v>32</v>
      </c>
      <c r="B33" s="58">
        <v>22.0</v>
      </c>
      <c r="C33" s="58">
        <v>30.0</v>
      </c>
      <c r="D33" s="58">
        <v>9.0</v>
      </c>
      <c r="E33" s="58">
        <v>12.0</v>
      </c>
      <c r="F33" s="57"/>
      <c r="G33" s="57"/>
      <c r="H33" s="58">
        <v>3.0</v>
      </c>
      <c r="I33" s="58">
        <v>3.0</v>
      </c>
      <c r="J33" s="57"/>
      <c r="K33" s="57"/>
      <c r="L33" s="57"/>
      <c r="M33" s="57"/>
      <c r="N33" s="59">
        <v>34.0</v>
      </c>
      <c r="O33" s="59">
        <v>45.0</v>
      </c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>
      <c r="A34" s="57" t="s">
        <v>33</v>
      </c>
      <c r="B34" s="58">
        <v>39.0</v>
      </c>
      <c r="C34" s="58">
        <v>52.0</v>
      </c>
      <c r="D34" s="58">
        <v>26.0</v>
      </c>
      <c r="E34" s="58">
        <v>43.0</v>
      </c>
      <c r="F34" s="58">
        <v>4.0</v>
      </c>
      <c r="G34" s="58">
        <v>7.0</v>
      </c>
      <c r="H34" s="58">
        <v>14.0</v>
      </c>
      <c r="I34" s="58">
        <v>24.0</v>
      </c>
      <c r="J34" s="57"/>
      <c r="K34" s="57"/>
      <c r="L34" s="57"/>
      <c r="M34" s="57"/>
      <c r="N34" s="59">
        <v>83.0</v>
      </c>
      <c r="O34" s="59">
        <v>126.0</v>
      </c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>
      <c r="A35" s="57" t="s">
        <v>87</v>
      </c>
      <c r="B35" s="58">
        <v>43.0</v>
      </c>
      <c r="C35" s="58">
        <v>60.0</v>
      </c>
      <c r="D35" s="58">
        <v>7.0</v>
      </c>
      <c r="E35" s="58">
        <v>8.0</v>
      </c>
      <c r="F35" s="57"/>
      <c r="G35" s="57"/>
      <c r="H35" s="57"/>
      <c r="I35" s="57"/>
      <c r="J35" s="57"/>
      <c r="K35" s="57"/>
      <c r="L35" s="57"/>
      <c r="M35" s="57"/>
      <c r="N35" s="59">
        <v>50.0</v>
      </c>
      <c r="O35" s="59">
        <v>68.0</v>
      </c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</row>
    <row r="36">
      <c r="A36" s="54">
        <v>3795.0</v>
      </c>
      <c r="B36" s="55">
        <v>44.0</v>
      </c>
      <c r="C36" s="55">
        <v>65.0</v>
      </c>
      <c r="D36" s="55">
        <v>20.0</v>
      </c>
      <c r="E36" s="55">
        <v>31.0</v>
      </c>
      <c r="F36" s="55">
        <v>9.0</v>
      </c>
      <c r="G36" s="55">
        <v>13.0</v>
      </c>
      <c r="H36" s="55">
        <v>23.0</v>
      </c>
      <c r="I36" s="55">
        <v>28.0</v>
      </c>
      <c r="J36" s="57"/>
      <c r="K36" s="57"/>
      <c r="L36" s="57"/>
      <c r="M36" s="57"/>
      <c r="N36" s="56">
        <v>96.0</v>
      </c>
      <c r="O36" s="56">
        <v>137.0</v>
      </c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>
      <c r="A37" s="57" t="s">
        <v>34</v>
      </c>
      <c r="B37" s="58">
        <v>9.0</v>
      </c>
      <c r="C37" s="58">
        <v>16.0</v>
      </c>
      <c r="D37" s="58">
        <v>8.0</v>
      </c>
      <c r="E37" s="58">
        <v>12.0</v>
      </c>
      <c r="F37" s="58">
        <v>2.0</v>
      </c>
      <c r="G37" s="58">
        <v>2.0</v>
      </c>
      <c r="H37" s="58">
        <v>5.0</v>
      </c>
      <c r="I37" s="58">
        <v>6.0</v>
      </c>
      <c r="J37" s="57"/>
      <c r="K37" s="57"/>
      <c r="L37" s="57"/>
      <c r="M37" s="57"/>
      <c r="N37" s="59">
        <v>24.0</v>
      </c>
      <c r="O37" s="59">
        <v>36.0</v>
      </c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>
      <c r="A38" s="57" t="s">
        <v>35</v>
      </c>
      <c r="B38" s="58">
        <v>26.0</v>
      </c>
      <c r="C38" s="58">
        <v>39.0</v>
      </c>
      <c r="D38" s="58">
        <v>10.0</v>
      </c>
      <c r="E38" s="58">
        <v>17.0</v>
      </c>
      <c r="F38" s="58">
        <v>6.0</v>
      </c>
      <c r="G38" s="58">
        <v>10.0</v>
      </c>
      <c r="H38" s="58">
        <v>18.0</v>
      </c>
      <c r="I38" s="58">
        <v>22.0</v>
      </c>
      <c r="J38" s="57"/>
      <c r="K38" s="57"/>
      <c r="L38" s="57"/>
      <c r="M38" s="57"/>
      <c r="N38" s="59">
        <v>60.0</v>
      </c>
      <c r="O38" s="59">
        <v>88.0</v>
      </c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>
      <c r="A39" s="57" t="s">
        <v>88</v>
      </c>
      <c r="B39" s="58">
        <v>9.0</v>
      </c>
      <c r="C39" s="58">
        <v>10.0</v>
      </c>
      <c r="D39" s="58">
        <v>2.0</v>
      </c>
      <c r="E39" s="58">
        <v>2.0</v>
      </c>
      <c r="F39" s="58">
        <v>1.0</v>
      </c>
      <c r="G39" s="58">
        <v>1.0</v>
      </c>
      <c r="H39" s="57"/>
      <c r="I39" s="57"/>
      <c r="J39" s="57"/>
      <c r="K39" s="57"/>
      <c r="L39" s="57"/>
      <c r="M39" s="57"/>
      <c r="N39" s="59">
        <v>12.0</v>
      </c>
      <c r="O39" s="59">
        <v>13.0</v>
      </c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</row>
    <row r="40">
      <c r="A40" s="54">
        <v>3791.0</v>
      </c>
      <c r="B40" s="55">
        <v>186.0</v>
      </c>
      <c r="C40" s="55">
        <v>255.0</v>
      </c>
      <c r="D40" s="55">
        <v>133.0</v>
      </c>
      <c r="E40" s="55">
        <v>189.0</v>
      </c>
      <c r="F40" s="55">
        <v>25.0</v>
      </c>
      <c r="G40" s="55">
        <v>36.0</v>
      </c>
      <c r="H40" s="55">
        <v>40.0</v>
      </c>
      <c r="I40" s="55">
        <v>55.0</v>
      </c>
      <c r="J40" s="57"/>
      <c r="K40" s="57"/>
      <c r="L40" s="57"/>
      <c r="M40" s="57"/>
      <c r="N40" s="56">
        <v>384.0</v>
      </c>
      <c r="O40" s="56">
        <v>535.0</v>
      </c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</row>
    <row r="41">
      <c r="A41" s="57" t="s">
        <v>64</v>
      </c>
      <c r="B41" s="58">
        <v>81.0</v>
      </c>
      <c r="C41" s="58">
        <v>124.0</v>
      </c>
      <c r="D41" s="58">
        <v>73.0</v>
      </c>
      <c r="E41" s="58">
        <v>119.0</v>
      </c>
      <c r="F41" s="58">
        <v>13.0</v>
      </c>
      <c r="G41" s="58">
        <v>20.0</v>
      </c>
      <c r="H41" s="58">
        <v>32.0</v>
      </c>
      <c r="I41" s="58">
        <v>45.0</v>
      </c>
      <c r="J41" s="57"/>
      <c r="K41" s="57"/>
      <c r="L41" s="57"/>
      <c r="M41" s="57"/>
      <c r="N41" s="59">
        <v>199.0</v>
      </c>
      <c r="O41" s="59">
        <v>308.0</v>
      </c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</row>
    <row r="42">
      <c r="A42" s="57" t="s">
        <v>36</v>
      </c>
      <c r="B42" s="58">
        <v>28.0</v>
      </c>
      <c r="C42" s="58">
        <v>42.0</v>
      </c>
      <c r="D42" s="58">
        <v>21.0</v>
      </c>
      <c r="E42" s="58">
        <v>28.0</v>
      </c>
      <c r="F42" s="58">
        <v>6.0</v>
      </c>
      <c r="G42" s="58">
        <v>8.0</v>
      </c>
      <c r="H42" s="58">
        <v>3.0</v>
      </c>
      <c r="I42" s="58">
        <v>4.0</v>
      </c>
      <c r="J42" s="57"/>
      <c r="K42" s="57"/>
      <c r="L42" s="57"/>
      <c r="M42" s="57"/>
      <c r="N42" s="59">
        <v>58.0</v>
      </c>
      <c r="O42" s="59">
        <v>82.0</v>
      </c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</row>
    <row r="43">
      <c r="A43" s="57" t="s">
        <v>37</v>
      </c>
      <c r="B43" s="58">
        <v>18.0</v>
      </c>
      <c r="C43" s="58">
        <v>24.0</v>
      </c>
      <c r="D43" s="58">
        <v>10.0</v>
      </c>
      <c r="E43" s="58">
        <v>13.0</v>
      </c>
      <c r="F43" s="58">
        <v>2.0</v>
      </c>
      <c r="G43" s="58">
        <v>3.0</v>
      </c>
      <c r="H43" s="58">
        <v>3.0</v>
      </c>
      <c r="I43" s="58">
        <v>4.0</v>
      </c>
      <c r="J43" s="57"/>
      <c r="K43" s="57"/>
      <c r="L43" s="57"/>
      <c r="M43" s="57"/>
      <c r="N43" s="59">
        <v>33.0</v>
      </c>
      <c r="O43" s="59">
        <v>44.0</v>
      </c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>
      <c r="A44" s="57" t="s">
        <v>38</v>
      </c>
      <c r="B44" s="58">
        <v>59.0</v>
      </c>
      <c r="C44" s="58">
        <v>65.0</v>
      </c>
      <c r="D44" s="58">
        <v>29.0</v>
      </c>
      <c r="E44" s="58">
        <v>29.0</v>
      </c>
      <c r="F44" s="58">
        <v>4.0</v>
      </c>
      <c r="G44" s="58">
        <v>5.0</v>
      </c>
      <c r="H44" s="58">
        <v>2.0</v>
      </c>
      <c r="I44" s="58">
        <v>2.0</v>
      </c>
      <c r="J44" s="57"/>
      <c r="K44" s="57"/>
      <c r="L44" s="57"/>
      <c r="M44" s="57"/>
      <c r="N44" s="59">
        <v>94.0</v>
      </c>
      <c r="O44" s="59">
        <v>101.0</v>
      </c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</row>
    <row r="45">
      <c r="A45" s="60" t="s">
        <v>49</v>
      </c>
      <c r="B45" s="60">
        <v>1458.0</v>
      </c>
      <c r="C45" s="60">
        <v>1828.0</v>
      </c>
      <c r="D45" s="60">
        <v>666.0</v>
      </c>
      <c r="E45" s="60">
        <v>880.0</v>
      </c>
      <c r="F45" s="60">
        <v>95.0</v>
      </c>
      <c r="G45" s="60">
        <v>148.0</v>
      </c>
      <c r="H45" s="60">
        <v>141.0</v>
      </c>
      <c r="I45" s="60">
        <v>189.0</v>
      </c>
      <c r="J45" s="60">
        <v>2.0</v>
      </c>
      <c r="K45" s="60">
        <v>2.0</v>
      </c>
      <c r="L45" s="60">
        <v>13.0</v>
      </c>
      <c r="M45" s="60">
        <v>130.0</v>
      </c>
      <c r="N45" s="60">
        <v>2375.0</v>
      </c>
      <c r="O45" s="60">
        <v>3177.0</v>
      </c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</row>
    <row r="46">
      <c r="A46" s="43"/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</row>
    <row r="47">
      <c r="A47" s="61" t="s">
        <v>40</v>
      </c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</row>
    <row r="48">
      <c r="A48" s="62"/>
      <c r="B48" s="63" t="s">
        <v>6</v>
      </c>
      <c r="C48" s="62"/>
      <c r="D48" s="63" t="s">
        <v>7</v>
      </c>
      <c r="E48" s="62"/>
      <c r="F48" s="63" t="s">
        <v>8</v>
      </c>
      <c r="G48" s="62"/>
      <c r="H48" s="63" t="s">
        <v>9</v>
      </c>
      <c r="I48" s="62"/>
      <c r="J48" s="63" t="s">
        <v>42</v>
      </c>
      <c r="K48" s="62"/>
      <c r="L48" s="63" t="s">
        <v>43</v>
      </c>
      <c r="M48" s="63" t="s">
        <v>44</v>
      </c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</row>
    <row r="49">
      <c r="A49" s="63" t="s">
        <v>89</v>
      </c>
      <c r="B49" s="63" t="s">
        <v>45</v>
      </c>
      <c r="C49" s="63" t="s">
        <v>46</v>
      </c>
      <c r="D49" s="63" t="s">
        <v>45</v>
      </c>
      <c r="E49" s="63" t="s">
        <v>46</v>
      </c>
      <c r="F49" s="63" t="s">
        <v>45</v>
      </c>
      <c r="G49" s="63" t="s">
        <v>46</v>
      </c>
      <c r="H49" s="63" t="s">
        <v>45</v>
      </c>
      <c r="I49" s="63" t="s">
        <v>46</v>
      </c>
      <c r="J49" s="63" t="s">
        <v>45</v>
      </c>
      <c r="K49" s="63" t="s">
        <v>46</v>
      </c>
      <c r="L49" s="62"/>
      <c r="M49" s="62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</row>
    <row r="50">
      <c r="A50" s="43" t="s">
        <v>47</v>
      </c>
      <c r="B50" s="64">
        <v>513.0</v>
      </c>
      <c r="C50" s="64">
        <v>845.0</v>
      </c>
      <c r="D50" s="64">
        <v>285.0</v>
      </c>
      <c r="E50" s="64">
        <v>466.0</v>
      </c>
      <c r="F50" s="64">
        <v>67.0</v>
      </c>
      <c r="G50" s="64">
        <v>118.0</v>
      </c>
      <c r="H50" s="64">
        <v>91.0</v>
      </c>
      <c r="I50" s="64">
        <v>132.0</v>
      </c>
      <c r="J50" s="64">
        <v>6.0</v>
      </c>
      <c r="K50" s="64">
        <v>80.0</v>
      </c>
      <c r="L50" s="64">
        <v>962.0</v>
      </c>
      <c r="M50" s="64">
        <v>1641.0</v>
      </c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</row>
    <row r="51">
      <c r="A51" s="43" t="s">
        <v>65</v>
      </c>
      <c r="B51" s="64">
        <v>80.0</v>
      </c>
      <c r="C51" s="64">
        <v>122.0</v>
      </c>
      <c r="D51" s="64">
        <v>74.0</v>
      </c>
      <c r="E51" s="64">
        <v>121.0</v>
      </c>
      <c r="F51" s="64">
        <v>13.0</v>
      </c>
      <c r="G51" s="64">
        <v>20.0</v>
      </c>
      <c r="H51" s="64">
        <v>32.0</v>
      </c>
      <c r="I51" s="64">
        <v>45.0</v>
      </c>
      <c r="J51" s="43"/>
      <c r="K51" s="43"/>
      <c r="L51" s="64">
        <v>199.0</v>
      </c>
      <c r="M51" s="64">
        <v>308.0</v>
      </c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</row>
    <row r="52">
      <c r="A52" s="43" t="s">
        <v>48</v>
      </c>
      <c r="B52" s="64">
        <v>794.0</v>
      </c>
      <c r="C52" s="64">
        <v>856.0</v>
      </c>
      <c r="D52" s="64">
        <v>271.0</v>
      </c>
      <c r="E52" s="64">
        <v>290.0</v>
      </c>
      <c r="F52" s="64">
        <v>7.0</v>
      </c>
      <c r="G52" s="64">
        <v>8.0</v>
      </c>
      <c r="H52" s="64">
        <v>5.0</v>
      </c>
      <c r="I52" s="64">
        <v>6.0</v>
      </c>
      <c r="J52" s="43"/>
      <c r="K52" s="43"/>
      <c r="L52" s="64">
        <v>1077.0</v>
      </c>
      <c r="M52" s="64">
        <v>1160.0</v>
      </c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</row>
    <row r="53">
      <c r="A53" s="43" t="s">
        <v>66</v>
      </c>
      <c r="B53" s="64">
        <v>3.0</v>
      </c>
      <c r="C53" s="64">
        <v>3.0</v>
      </c>
      <c r="D53" s="64">
        <v>3.0</v>
      </c>
      <c r="E53" s="64">
        <v>3.0</v>
      </c>
      <c r="F53" s="43"/>
      <c r="G53" s="43"/>
      <c r="H53" s="64">
        <v>12.0</v>
      </c>
      <c r="I53" s="64">
        <v>12.0</v>
      </c>
      <c r="J53" s="64">
        <v>2.0</v>
      </c>
      <c r="K53" s="64">
        <v>50.0</v>
      </c>
      <c r="L53" s="64">
        <v>20.0</v>
      </c>
      <c r="M53" s="64">
        <v>68.0</v>
      </c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</row>
    <row r="54">
      <c r="A54" s="65" t="s">
        <v>49</v>
      </c>
      <c r="B54" s="65">
        <v>1390.0</v>
      </c>
      <c r="C54" s="65">
        <v>1826.0</v>
      </c>
      <c r="D54" s="65">
        <v>633.0</v>
      </c>
      <c r="E54" s="65">
        <v>880.0</v>
      </c>
      <c r="F54" s="65">
        <v>87.0</v>
      </c>
      <c r="G54" s="65">
        <v>146.0</v>
      </c>
      <c r="H54" s="65">
        <v>140.0</v>
      </c>
      <c r="I54" s="65">
        <v>195.0</v>
      </c>
      <c r="J54" s="65">
        <v>8.0</v>
      </c>
      <c r="K54" s="65">
        <v>130.0</v>
      </c>
      <c r="L54" s="65">
        <v>2258.0</v>
      </c>
      <c r="M54" s="66">
        <v>3177.0</v>
      </c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</row>
    <row r="5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</row>
    <row r="56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</row>
    <row r="57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</row>
    <row r="58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</row>
    <row r="59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</row>
    <row r="60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</row>
    <row r="61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</row>
    <row r="62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</row>
    <row r="63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</row>
    <row r="64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</row>
    <row r="65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</row>
    <row r="66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</row>
    <row r="67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</row>
    <row r="68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</row>
    <row r="69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</row>
    <row r="70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</row>
    <row r="71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</row>
    <row r="72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</row>
    <row r="73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</row>
    <row r="74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</row>
    <row r="75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</row>
    <row r="76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</row>
    <row r="77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</row>
    <row r="78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</row>
    <row r="79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</row>
    <row r="80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</row>
    <row r="81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</row>
    <row r="82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</row>
    <row r="83">
      <c r="A83" s="43"/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</row>
    <row r="84">
      <c r="A84" s="43"/>
      <c r="B84" s="43"/>
      <c r="C84" s="43"/>
      <c r="D84" s="43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</row>
    <row r="85">
      <c r="A85" s="43"/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</row>
    <row r="86">
      <c r="A86" s="43"/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</row>
    <row r="87">
      <c r="A87" s="43"/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</row>
    <row r="88">
      <c r="A88" s="43"/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</row>
    <row r="89">
      <c r="A89" s="43"/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</row>
    <row r="90">
      <c r="A90" s="43"/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</row>
    <row r="91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</row>
    <row r="92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</row>
    <row r="93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</row>
    <row r="94">
      <c r="A94" s="43"/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</row>
    <row r="95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</row>
    <row r="96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</row>
    <row r="97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</row>
    <row r="98">
      <c r="A98" s="43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</row>
    <row r="99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</row>
    <row r="100">
      <c r="A100" s="43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</row>
    <row r="101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</row>
    <row r="102">
      <c r="A102" s="43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</row>
    <row r="103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</row>
    <row r="104">
      <c r="A104" s="43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</row>
    <row r="105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</row>
    <row r="106">
      <c r="A106" s="43"/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</row>
    <row r="107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</row>
    <row r="108">
      <c r="A108" s="43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</row>
    <row r="109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</row>
    <row r="110">
      <c r="A110" s="43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</row>
    <row r="111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</row>
    <row r="112">
      <c r="A112" s="43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</row>
    <row r="113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</row>
    <row r="114">
      <c r="A114" s="43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</row>
    <row r="115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</row>
    <row r="116">
      <c r="A116" s="43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</row>
    <row r="117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</row>
    <row r="118">
      <c r="A118" s="43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</row>
    <row r="119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</row>
    <row r="120">
      <c r="A120" s="43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</row>
    <row r="121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</row>
    <row r="122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</row>
    <row r="123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</row>
    <row r="124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</row>
    <row r="125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</row>
    <row r="126">
      <c r="A126" s="43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</row>
    <row r="127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</row>
    <row r="128">
      <c r="A128" s="43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</row>
    <row r="129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</row>
    <row r="130">
      <c r="A130" s="43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</row>
    <row r="131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</row>
    <row r="132">
      <c r="A132" s="43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</row>
    <row r="133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</row>
    <row r="134">
      <c r="A134" s="43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</row>
    <row r="135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</row>
    <row r="136">
      <c r="A136" s="43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</row>
    <row r="137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</row>
    <row r="138">
      <c r="A138" s="43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</row>
    <row r="139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</row>
    <row r="140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</row>
    <row r="141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</row>
    <row r="142">
      <c r="A142" s="43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</row>
    <row r="143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</row>
    <row r="144">
      <c r="A144" s="43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</row>
    <row r="145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</row>
    <row r="146">
      <c r="A146" s="43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</row>
    <row r="147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</row>
    <row r="148">
      <c r="A148" s="43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</row>
    <row r="149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</row>
    <row r="150">
      <c r="A150" s="43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</row>
    <row r="151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</row>
    <row r="152">
      <c r="A152" s="43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</row>
    <row r="153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</row>
    <row r="154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</row>
    <row r="155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</row>
    <row r="156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</row>
    <row r="157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</row>
    <row r="158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</row>
    <row r="159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</row>
    <row r="160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</row>
    <row r="161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</row>
    <row r="162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</row>
    <row r="163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</row>
    <row r="164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</row>
    <row r="165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</row>
    <row r="166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</row>
    <row r="167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</row>
    <row r="168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</row>
    <row r="169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</row>
    <row r="170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</row>
    <row r="171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</row>
    <row r="172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</row>
    <row r="173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</row>
    <row r="174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</row>
    <row r="175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</row>
    <row r="176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</row>
    <row r="177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</row>
    <row r="178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</row>
    <row r="179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</row>
    <row r="180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</row>
    <row r="181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</row>
    <row r="182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</row>
    <row r="183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</row>
    <row r="184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</row>
    <row r="185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</row>
    <row r="186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</row>
    <row r="187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</row>
    <row r="188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</row>
    <row r="189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</row>
    <row r="190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</row>
    <row r="191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</row>
    <row r="192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</row>
    <row r="193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</row>
    <row r="194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</row>
    <row r="195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</row>
    <row r="196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</row>
    <row r="197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</row>
    <row r="198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</row>
    <row r="199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</row>
    <row r="200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</row>
    <row r="201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</row>
    <row r="202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</row>
    <row r="203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</row>
    <row r="204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</row>
    <row r="205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</row>
    <row r="206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</row>
    <row r="207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</row>
    <row r="208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</row>
    <row r="209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</row>
    <row r="210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</row>
    <row r="211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</row>
    <row r="212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</row>
    <row r="213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</row>
    <row r="214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</row>
    <row r="215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</row>
    <row r="216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</row>
    <row r="217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</row>
    <row r="218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</row>
    <row r="219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</row>
    <row r="220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</row>
    <row r="221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</row>
    <row r="222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</row>
    <row r="223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</row>
    <row r="224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</row>
    <row r="225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</row>
    <row r="226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</row>
    <row r="227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</row>
    <row r="228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</row>
    <row r="229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</row>
    <row r="230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</row>
    <row r="231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</row>
    <row r="232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</row>
    <row r="233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</row>
    <row r="234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</row>
    <row r="235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</row>
    <row r="236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</row>
    <row r="237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</row>
    <row r="238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</row>
    <row r="239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</row>
    <row r="240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</row>
    <row r="241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</row>
    <row r="242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</row>
    <row r="243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</row>
    <row r="244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</row>
    <row r="245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</row>
    <row r="246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</row>
    <row r="247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</row>
    <row r="248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</row>
    <row r="249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</row>
    <row r="250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</row>
    <row r="251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</row>
    <row r="252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</row>
    <row r="253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</row>
    <row r="254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</row>
    <row r="255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</row>
    <row r="256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</row>
    <row r="257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</row>
    <row r="258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</row>
    <row r="259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</row>
    <row r="260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</row>
    <row r="261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</row>
    <row r="262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</row>
    <row r="263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</row>
    <row r="264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</row>
    <row r="265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</row>
    <row r="266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</row>
    <row r="267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</row>
    <row r="268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</row>
    <row r="269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</row>
    <row r="270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</row>
    <row r="271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</row>
    <row r="272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</row>
    <row r="273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</row>
    <row r="274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</row>
    <row r="275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</row>
    <row r="276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</row>
    <row r="277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</row>
    <row r="278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</row>
    <row r="279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</row>
    <row r="280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</row>
    <row r="281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</row>
    <row r="282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</row>
    <row r="283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</row>
    <row r="284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</row>
    <row r="285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</row>
    <row r="286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</row>
    <row r="287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</row>
    <row r="288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</row>
    <row r="289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</row>
    <row r="290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</row>
    <row r="291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</row>
    <row r="292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</row>
    <row r="293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</row>
    <row r="294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</row>
    <row r="295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</row>
    <row r="296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</row>
    <row r="297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</row>
    <row r="298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</row>
    <row r="299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</row>
    <row r="300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</row>
    <row r="301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</row>
    <row r="302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</row>
    <row r="303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</row>
    <row r="304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</row>
    <row r="305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</row>
    <row r="306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</row>
    <row r="307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</row>
    <row r="308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</row>
    <row r="309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</row>
    <row r="310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</row>
    <row r="311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</row>
    <row r="312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</row>
    <row r="313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</row>
    <row r="314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</row>
    <row r="315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</row>
    <row r="316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</row>
    <row r="317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</row>
    <row r="318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</row>
    <row r="319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</row>
    <row r="320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</row>
    <row r="321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</row>
    <row r="322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</row>
    <row r="323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</row>
    <row r="324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</row>
    <row r="325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</row>
    <row r="326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</row>
    <row r="327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</row>
    <row r="328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</row>
    <row r="329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</row>
    <row r="330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</row>
    <row r="331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</row>
    <row r="332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</row>
    <row r="333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</row>
    <row r="334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</row>
    <row r="335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</row>
    <row r="336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</row>
    <row r="337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</row>
    <row r="338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</row>
    <row r="339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</row>
    <row r="340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</row>
    <row r="341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</row>
    <row r="342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</row>
    <row r="343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</row>
    <row r="344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</row>
    <row r="345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</row>
    <row r="346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</row>
    <row r="347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</row>
    <row r="348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</row>
    <row r="349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</row>
    <row r="350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</row>
    <row r="351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</row>
    <row r="352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</row>
    <row r="353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</row>
    <row r="354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</row>
    <row r="355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</row>
    <row r="356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</row>
    <row r="357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</row>
    <row r="358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</row>
    <row r="359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</row>
    <row r="360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</row>
    <row r="361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</row>
    <row r="362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</row>
    <row r="363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</row>
    <row r="364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</row>
    <row r="365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</row>
    <row r="366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</row>
    <row r="367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</row>
    <row r="368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</row>
    <row r="369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</row>
    <row r="370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</row>
    <row r="371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</row>
    <row r="372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</row>
    <row r="373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</row>
    <row r="374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</row>
    <row r="375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</row>
    <row r="376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</row>
    <row r="377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</row>
    <row r="378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</row>
    <row r="379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</row>
    <row r="380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</row>
    <row r="381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</row>
    <row r="382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</row>
    <row r="383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</row>
    <row r="384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</row>
    <row r="385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</row>
    <row r="386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</row>
    <row r="387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</row>
    <row r="388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</row>
    <row r="389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</row>
    <row r="390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</row>
    <row r="391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</row>
    <row r="392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</row>
    <row r="393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</row>
    <row r="394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</row>
    <row r="395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</row>
    <row r="396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</row>
    <row r="397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</row>
    <row r="398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</row>
    <row r="399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</row>
    <row r="400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</row>
    <row r="401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</row>
    <row r="402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</row>
    <row r="403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</row>
    <row r="404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</row>
    <row r="405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</row>
    <row r="406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</row>
    <row r="407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</row>
    <row r="408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</row>
    <row r="409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</row>
    <row r="410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</row>
    <row r="411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</row>
    <row r="412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</row>
    <row r="413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</row>
    <row r="414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</row>
    <row r="415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</row>
    <row r="416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</row>
    <row r="417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</row>
    <row r="418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</row>
    <row r="419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</row>
    <row r="420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</row>
    <row r="421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</row>
    <row r="422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</row>
    <row r="423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</row>
    <row r="424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</row>
    <row r="425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</row>
    <row r="426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</row>
    <row r="427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</row>
    <row r="428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</row>
    <row r="429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</row>
    <row r="430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</row>
    <row r="431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</row>
    <row r="432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</row>
    <row r="433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</row>
    <row r="434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</row>
    <row r="435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</row>
    <row r="436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</row>
    <row r="437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</row>
    <row r="438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</row>
    <row r="439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</row>
    <row r="440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</row>
    <row r="441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</row>
    <row r="442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</row>
    <row r="443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</row>
    <row r="444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</row>
    <row r="445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</row>
    <row r="446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</row>
    <row r="447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</row>
    <row r="448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</row>
    <row r="449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</row>
    <row r="450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</row>
    <row r="451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</row>
    <row r="452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</row>
    <row r="453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</row>
    <row r="454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</row>
    <row r="455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</row>
    <row r="456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</row>
    <row r="457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</row>
    <row r="458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</row>
    <row r="459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</row>
    <row r="460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</row>
    <row r="461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</row>
    <row r="462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</row>
    <row r="463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</row>
    <row r="464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</row>
    <row r="465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</row>
    <row r="466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</row>
    <row r="467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</row>
    <row r="468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</row>
    <row r="469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</row>
    <row r="470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</row>
    <row r="471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</row>
    <row r="472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</row>
    <row r="473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</row>
    <row r="474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</row>
    <row r="475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</row>
    <row r="476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</row>
    <row r="477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</row>
    <row r="478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</row>
    <row r="479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</row>
    <row r="480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</row>
    <row r="481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</row>
    <row r="482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</row>
    <row r="483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</row>
    <row r="484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</row>
    <row r="485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</row>
    <row r="486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</row>
    <row r="487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</row>
    <row r="488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</row>
    <row r="489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</row>
    <row r="490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</row>
    <row r="491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</row>
    <row r="492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</row>
    <row r="493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</row>
    <row r="494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</row>
    <row r="495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</row>
    <row r="496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</row>
    <row r="497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</row>
    <row r="498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</row>
    <row r="499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</row>
    <row r="500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</row>
    <row r="501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</row>
    <row r="502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</row>
    <row r="503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</row>
    <row r="504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</row>
    <row r="505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</row>
    <row r="506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</row>
    <row r="507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</row>
    <row r="508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</row>
    <row r="509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</row>
    <row r="510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</row>
    <row r="511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</row>
    <row r="512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</row>
    <row r="513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</row>
    <row r="514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</row>
    <row r="515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</row>
    <row r="516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</row>
    <row r="517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</row>
    <row r="518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</row>
    <row r="519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</row>
    <row r="520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</row>
    <row r="521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</row>
    <row r="522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</row>
    <row r="523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</row>
    <row r="524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</row>
    <row r="525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</row>
    <row r="526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</row>
    <row r="527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</row>
    <row r="528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</row>
    <row r="529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</row>
    <row r="530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</row>
    <row r="531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</row>
    <row r="532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</row>
    <row r="533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</row>
    <row r="534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</row>
    <row r="535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</row>
    <row r="536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</row>
    <row r="537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</row>
    <row r="538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</row>
    <row r="539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</row>
    <row r="540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</row>
    <row r="541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</row>
    <row r="542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</row>
    <row r="543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</row>
    <row r="544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</row>
    <row r="545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</row>
    <row r="546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</row>
    <row r="547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</row>
    <row r="548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</row>
    <row r="549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</row>
    <row r="550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</row>
    <row r="551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</row>
    <row r="552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</row>
    <row r="553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</row>
    <row r="554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</row>
    <row r="555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</row>
    <row r="556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</row>
    <row r="557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</row>
    <row r="558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</row>
    <row r="559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</row>
    <row r="560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</row>
    <row r="561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</row>
    <row r="562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</row>
    <row r="563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</row>
    <row r="564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</row>
    <row r="565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</row>
    <row r="566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</row>
    <row r="567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</row>
    <row r="568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</row>
    <row r="569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</row>
    <row r="570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</row>
    <row r="571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</row>
    <row r="572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</row>
    <row r="573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</row>
    <row r="574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</row>
    <row r="575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</row>
    <row r="576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</row>
    <row r="577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</row>
    <row r="578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</row>
    <row r="579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</row>
    <row r="580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</row>
    <row r="581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</row>
    <row r="582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</row>
    <row r="583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</row>
    <row r="584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</row>
    <row r="585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</row>
    <row r="586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</row>
    <row r="587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</row>
    <row r="588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</row>
    <row r="589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</row>
    <row r="590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</row>
    <row r="591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</row>
    <row r="592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</row>
    <row r="593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</row>
    <row r="594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</row>
    <row r="595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</row>
    <row r="596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</row>
    <row r="597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</row>
    <row r="598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</row>
    <row r="599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</row>
    <row r="600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</row>
    <row r="601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</row>
    <row r="602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</row>
    <row r="603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</row>
    <row r="604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</row>
    <row r="605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</row>
    <row r="606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</row>
    <row r="607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</row>
    <row r="608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</row>
    <row r="609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</row>
    <row r="610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</row>
    <row r="611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</row>
    <row r="612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</row>
    <row r="613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</row>
    <row r="614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</row>
    <row r="615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</row>
    <row r="616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</row>
    <row r="617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</row>
    <row r="618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</row>
    <row r="619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</row>
    <row r="620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</row>
    <row r="621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</row>
    <row r="622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</row>
    <row r="623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</row>
    <row r="624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</row>
    <row r="625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</row>
    <row r="626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</row>
    <row r="627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</row>
    <row r="628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</row>
    <row r="629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</row>
    <row r="630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</row>
    <row r="631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</row>
    <row r="632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</row>
    <row r="633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</row>
    <row r="634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</row>
    <row r="635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</row>
    <row r="636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</row>
    <row r="637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</row>
    <row r="638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</row>
    <row r="639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</row>
    <row r="640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</row>
    <row r="641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</row>
    <row r="642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</row>
    <row r="643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</row>
    <row r="644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</row>
    <row r="645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</row>
    <row r="646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</row>
    <row r="647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</row>
    <row r="648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</row>
    <row r="649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</row>
    <row r="650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</row>
    <row r="651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</row>
    <row r="652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</row>
    <row r="653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</row>
    <row r="654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</row>
    <row r="655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</row>
    <row r="656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</row>
    <row r="657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</row>
    <row r="658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</row>
    <row r="659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</row>
    <row r="660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</row>
    <row r="661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</row>
    <row r="662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</row>
    <row r="663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</row>
    <row r="664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</row>
    <row r="665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</row>
    <row r="666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</row>
    <row r="667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</row>
    <row r="668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</row>
    <row r="669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</row>
    <row r="670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</row>
    <row r="671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</row>
    <row r="672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</row>
    <row r="673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</row>
    <row r="674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</row>
    <row r="675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</row>
    <row r="676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</row>
    <row r="677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</row>
    <row r="678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</row>
    <row r="679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</row>
    <row r="680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</row>
    <row r="681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</row>
    <row r="682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</row>
    <row r="683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</row>
    <row r="684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</row>
    <row r="685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</row>
    <row r="686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</row>
    <row r="687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</row>
    <row r="688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</row>
    <row r="689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</row>
    <row r="690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</row>
    <row r="691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</row>
    <row r="692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</row>
    <row r="693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</row>
    <row r="694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</row>
    <row r="695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</row>
    <row r="696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</row>
    <row r="697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</row>
    <row r="698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</row>
    <row r="699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</row>
    <row r="700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</row>
    <row r="701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</row>
    <row r="702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</row>
    <row r="703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</row>
    <row r="704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</row>
    <row r="705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</row>
    <row r="706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</row>
    <row r="707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</row>
    <row r="708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</row>
    <row r="709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</row>
    <row r="710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</row>
    <row r="711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</row>
    <row r="712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</row>
    <row r="713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</row>
    <row r="714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</row>
    <row r="715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</row>
    <row r="716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</row>
    <row r="717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</row>
    <row r="718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</row>
    <row r="719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</row>
    <row r="720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</row>
    <row r="721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</row>
    <row r="722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</row>
    <row r="723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</row>
    <row r="724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</row>
    <row r="725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</row>
    <row r="726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</row>
    <row r="727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</row>
    <row r="728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</row>
    <row r="729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</row>
    <row r="730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</row>
    <row r="731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</row>
    <row r="732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</row>
    <row r="733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</row>
    <row r="734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</row>
    <row r="735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</row>
    <row r="736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</row>
    <row r="737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</row>
    <row r="738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</row>
    <row r="739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</row>
    <row r="740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</row>
    <row r="741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</row>
    <row r="742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</row>
    <row r="743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</row>
    <row r="744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</row>
    <row r="745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</row>
    <row r="746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</row>
    <row r="747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</row>
    <row r="748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</row>
    <row r="749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</row>
    <row r="750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</row>
    <row r="751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</row>
    <row r="752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</row>
    <row r="753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</row>
    <row r="754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</row>
    <row r="755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</row>
    <row r="756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</row>
    <row r="757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</row>
    <row r="758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</row>
    <row r="759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</row>
    <row r="760">
      <c r="A760" s="43"/>
      <c r="B760" s="43"/>
      <c r="C760" s="43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</row>
    <row r="761">
      <c r="A761" s="43"/>
      <c r="B761" s="43"/>
      <c r="C761" s="43"/>
      <c r="D761" s="43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</row>
    <row r="762">
      <c r="A762" s="43"/>
      <c r="B762" s="43"/>
      <c r="C762" s="43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</row>
    <row r="763">
      <c r="A763" s="43"/>
      <c r="B763" s="43"/>
      <c r="C763" s="43"/>
      <c r="D763" s="43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</row>
    <row r="764">
      <c r="A764" s="43"/>
      <c r="B764" s="43"/>
      <c r="C764" s="43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</row>
    <row r="765">
      <c r="A765" s="43"/>
      <c r="B765" s="43"/>
      <c r="C765" s="43"/>
      <c r="D765" s="43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</row>
    <row r="766">
      <c r="A766" s="43"/>
      <c r="B766" s="43"/>
      <c r="C766" s="43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</row>
    <row r="767">
      <c r="A767" s="43"/>
      <c r="B767" s="43"/>
      <c r="C767" s="43"/>
      <c r="D767" s="43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</row>
    <row r="768">
      <c r="A768" s="43"/>
      <c r="B768" s="43"/>
      <c r="C768" s="43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</row>
    <row r="769">
      <c r="A769" s="43"/>
      <c r="B769" s="43"/>
      <c r="C769" s="43"/>
      <c r="D769" s="43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</row>
    <row r="770">
      <c r="A770" s="43"/>
      <c r="B770" s="43"/>
      <c r="C770" s="43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</row>
    <row r="771">
      <c r="A771" s="43"/>
      <c r="B771" s="43"/>
      <c r="C771" s="43"/>
      <c r="D771" s="43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</row>
    <row r="772">
      <c r="A772" s="43"/>
      <c r="B772" s="43"/>
      <c r="C772" s="43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</row>
    <row r="773">
      <c r="A773" s="43"/>
      <c r="B773" s="43"/>
      <c r="C773" s="43"/>
      <c r="D773" s="43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</row>
    <row r="774">
      <c r="A774" s="43"/>
      <c r="B774" s="43"/>
      <c r="C774" s="43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</row>
    <row r="775">
      <c r="A775" s="43"/>
      <c r="B775" s="43"/>
      <c r="C775" s="43"/>
      <c r="D775" s="43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</row>
    <row r="776">
      <c r="A776" s="43"/>
      <c r="B776" s="43"/>
      <c r="C776" s="43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</row>
    <row r="777">
      <c r="A777" s="43"/>
      <c r="B777" s="43"/>
      <c r="C777" s="43"/>
      <c r="D777" s="43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</row>
    <row r="778">
      <c r="A778" s="43"/>
      <c r="B778" s="43"/>
      <c r="C778" s="43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</row>
    <row r="779">
      <c r="A779" s="43"/>
      <c r="B779" s="43"/>
      <c r="C779" s="43"/>
      <c r="D779" s="43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</row>
    <row r="780">
      <c r="A780" s="43"/>
      <c r="B780" s="43"/>
      <c r="C780" s="43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</row>
    <row r="781">
      <c r="A781" s="43"/>
      <c r="B781" s="43"/>
      <c r="C781" s="43"/>
      <c r="D781" s="43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</row>
    <row r="782">
      <c r="A782" s="43"/>
      <c r="B782" s="43"/>
      <c r="C782" s="43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</row>
    <row r="783">
      <c r="A783" s="43"/>
      <c r="B783" s="43"/>
      <c r="C783" s="43"/>
      <c r="D783" s="43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</row>
    <row r="784">
      <c r="A784" s="43"/>
      <c r="B784" s="43"/>
      <c r="C784" s="43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</row>
    <row r="785">
      <c r="A785" s="43"/>
      <c r="B785" s="43"/>
      <c r="C785" s="43"/>
      <c r="D785" s="43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</row>
    <row r="786">
      <c r="A786" s="43"/>
      <c r="B786" s="43"/>
      <c r="C786" s="43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</row>
    <row r="787">
      <c r="A787" s="43"/>
      <c r="B787" s="43"/>
      <c r="C787" s="43"/>
      <c r="D787" s="43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</row>
    <row r="788">
      <c r="A788" s="43"/>
      <c r="B788" s="43"/>
      <c r="C788" s="43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</row>
    <row r="789">
      <c r="A789" s="43"/>
      <c r="B789" s="43"/>
      <c r="C789" s="43"/>
      <c r="D789" s="43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</row>
    <row r="790">
      <c r="A790" s="43"/>
      <c r="B790" s="43"/>
      <c r="C790" s="43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</row>
    <row r="791">
      <c r="A791" s="43"/>
      <c r="B791" s="43"/>
      <c r="C791" s="43"/>
      <c r="D791" s="43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</row>
    <row r="792">
      <c r="A792" s="43"/>
      <c r="B792" s="43"/>
      <c r="C792" s="43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</row>
    <row r="793">
      <c r="A793" s="43"/>
      <c r="B793" s="43"/>
      <c r="C793" s="43"/>
      <c r="D793" s="43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</row>
    <row r="794">
      <c r="A794" s="43"/>
      <c r="B794" s="43"/>
      <c r="C794" s="43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</row>
    <row r="795">
      <c r="A795" s="43"/>
      <c r="B795" s="43"/>
      <c r="C795" s="43"/>
      <c r="D795" s="43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</row>
    <row r="796">
      <c r="A796" s="43"/>
      <c r="B796" s="43"/>
      <c r="C796" s="43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</row>
    <row r="797">
      <c r="A797" s="43"/>
      <c r="B797" s="43"/>
      <c r="C797" s="43"/>
      <c r="D797" s="43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</row>
    <row r="798">
      <c r="A798" s="43"/>
      <c r="B798" s="43"/>
      <c r="C798" s="43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</row>
    <row r="799">
      <c r="A799" s="43"/>
      <c r="B799" s="43"/>
      <c r="C799" s="43"/>
      <c r="D799" s="43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</row>
    <row r="800">
      <c r="A800" s="43"/>
      <c r="B800" s="43"/>
      <c r="C800" s="43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</row>
    <row r="801">
      <c r="A801" s="43"/>
      <c r="B801" s="43"/>
      <c r="C801" s="43"/>
      <c r="D801" s="43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</row>
    <row r="802">
      <c r="A802" s="43"/>
      <c r="B802" s="43"/>
      <c r="C802" s="43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</row>
    <row r="803">
      <c r="A803" s="43"/>
      <c r="B803" s="43"/>
      <c r="C803" s="43"/>
      <c r="D803" s="43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</row>
    <row r="804">
      <c r="A804" s="43"/>
      <c r="B804" s="43"/>
      <c r="C804" s="43"/>
      <c r="D804" s="43"/>
      <c r="E804" s="43"/>
      <c r="F804" s="43"/>
      <c r="G804" s="43"/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</row>
    <row r="805">
      <c r="A805" s="43"/>
      <c r="B805" s="43"/>
      <c r="C805" s="43"/>
      <c r="D805" s="43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</row>
    <row r="806">
      <c r="A806" s="43"/>
      <c r="B806" s="43"/>
      <c r="C806" s="43"/>
      <c r="D806" s="43"/>
      <c r="E806" s="43"/>
      <c r="F806" s="43"/>
      <c r="G806" s="43"/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</row>
    <row r="807">
      <c r="A807" s="43"/>
      <c r="B807" s="43"/>
      <c r="C807" s="43"/>
      <c r="D807" s="43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</row>
    <row r="808">
      <c r="A808" s="43"/>
      <c r="B808" s="43"/>
      <c r="C808" s="43"/>
      <c r="D808" s="43"/>
      <c r="E808" s="43"/>
      <c r="F808" s="43"/>
      <c r="G808" s="43"/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</row>
    <row r="809">
      <c r="A809" s="43"/>
      <c r="B809" s="43"/>
      <c r="C809" s="43"/>
      <c r="D809" s="43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</row>
    <row r="810">
      <c r="A810" s="43"/>
      <c r="B810" s="43"/>
      <c r="C810" s="43"/>
      <c r="D810" s="43"/>
      <c r="E810" s="43"/>
      <c r="F810" s="43"/>
      <c r="G810" s="43"/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</row>
    <row r="811">
      <c r="A811" s="43"/>
      <c r="B811" s="43"/>
      <c r="C811" s="43"/>
      <c r="D811" s="43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</row>
    <row r="812">
      <c r="A812" s="43"/>
      <c r="B812" s="43"/>
      <c r="C812" s="43"/>
      <c r="D812" s="43"/>
      <c r="E812" s="43"/>
      <c r="F812" s="43"/>
      <c r="G812" s="43"/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</row>
    <row r="813">
      <c r="A813" s="43"/>
      <c r="B813" s="43"/>
      <c r="C813" s="43"/>
      <c r="D813" s="43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</row>
    <row r="814">
      <c r="A814" s="43"/>
      <c r="B814" s="43"/>
      <c r="C814" s="43"/>
      <c r="D814" s="43"/>
      <c r="E814" s="43"/>
      <c r="F814" s="43"/>
      <c r="G814" s="43"/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</row>
    <row r="815">
      <c r="A815" s="43"/>
      <c r="B815" s="43"/>
      <c r="C815" s="43"/>
      <c r="D815" s="43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</row>
    <row r="816">
      <c r="A816" s="43"/>
      <c r="B816" s="43"/>
      <c r="C816" s="43"/>
      <c r="D816" s="43"/>
      <c r="E816" s="43"/>
      <c r="F816" s="43"/>
      <c r="G816" s="43"/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</row>
    <row r="817">
      <c r="A817" s="43"/>
      <c r="B817" s="43"/>
      <c r="C817" s="43"/>
      <c r="D817" s="43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</row>
    <row r="818">
      <c r="A818" s="43"/>
      <c r="B818" s="43"/>
      <c r="C818" s="43"/>
      <c r="D818" s="43"/>
      <c r="E818" s="43"/>
      <c r="F818" s="43"/>
      <c r="G818" s="43"/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</row>
    <row r="819">
      <c r="A819" s="43"/>
      <c r="B819" s="43"/>
      <c r="C819" s="43"/>
      <c r="D819" s="43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</row>
    <row r="820">
      <c r="A820" s="43"/>
      <c r="B820" s="43"/>
      <c r="C820" s="43"/>
      <c r="D820" s="43"/>
      <c r="E820" s="43"/>
      <c r="F820" s="43"/>
      <c r="G820" s="43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</row>
    <row r="821">
      <c r="A821" s="43"/>
      <c r="B821" s="43"/>
      <c r="C821" s="43"/>
      <c r="D821" s="43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</row>
    <row r="822">
      <c r="A822" s="43"/>
      <c r="B822" s="43"/>
      <c r="C822" s="43"/>
      <c r="D822" s="43"/>
      <c r="E822" s="43"/>
      <c r="F822" s="43"/>
      <c r="G822" s="43"/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</row>
    <row r="823">
      <c r="A823" s="43"/>
      <c r="B823" s="43"/>
      <c r="C823" s="43"/>
      <c r="D823" s="43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</row>
    <row r="824">
      <c r="A824" s="43"/>
      <c r="B824" s="43"/>
      <c r="C824" s="43"/>
      <c r="D824" s="43"/>
      <c r="E824" s="43"/>
      <c r="F824" s="43"/>
      <c r="G824" s="43"/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</row>
    <row r="825">
      <c r="A825" s="43"/>
      <c r="B825" s="43"/>
      <c r="C825" s="43"/>
      <c r="D825" s="43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</row>
    <row r="826">
      <c r="A826" s="43"/>
      <c r="B826" s="43"/>
      <c r="C826" s="43"/>
      <c r="D826" s="43"/>
      <c r="E826" s="43"/>
      <c r="F826" s="43"/>
      <c r="G826" s="43"/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</row>
    <row r="827">
      <c r="A827" s="43"/>
      <c r="B827" s="43"/>
      <c r="C827" s="43"/>
      <c r="D827" s="43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</row>
    <row r="828">
      <c r="A828" s="43"/>
      <c r="B828" s="43"/>
      <c r="C828" s="43"/>
      <c r="D828" s="43"/>
      <c r="E828" s="43"/>
      <c r="F828" s="43"/>
      <c r="G828" s="43"/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</row>
    <row r="829">
      <c r="A829" s="43"/>
      <c r="B829" s="43"/>
      <c r="C829" s="43"/>
      <c r="D829" s="43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</row>
    <row r="830">
      <c r="A830" s="43"/>
      <c r="B830" s="43"/>
      <c r="C830" s="43"/>
      <c r="D830" s="43"/>
      <c r="E830" s="43"/>
      <c r="F830" s="43"/>
      <c r="G830" s="43"/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</row>
    <row r="831">
      <c r="A831" s="43"/>
      <c r="B831" s="43"/>
      <c r="C831" s="43"/>
      <c r="D831" s="43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</row>
    <row r="832">
      <c r="A832" s="43"/>
      <c r="B832" s="43"/>
      <c r="C832" s="43"/>
      <c r="D832" s="43"/>
      <c r="E832" s="43"/>
      <c r="F832" s="43"/>
      <c r="G832" s="43"/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</row>
    <row r="833">
      <c r="A833" s="43"/>
      <c r="B833" s="43"/>
      <c r="C833" s="43"/>
      <c r="D833" s="43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</row>
    <row r="834">
      <c r="A834" s="43"/>
      <c r="B834" s="43"/>
      <c r="C834" s="43"/>
      <c r="D834" s="43"/>
      <c r="E834" s="43"/>
      <c r="F834" s="43"/>
      <c r="G834" s="43"/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</row>
    <row r="835">
      <c r="A835" s="43"/>
      <c r="B835" s="43"/>
      <c r="C835" s="43"/>
      <c r="D835" s="43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</row>
    <row r="836">
      <c r="A836" s="43"/>
      <c r="B836" s="43"/>
      <c r="C836" s="43"/>
      <c r="D836" s="43"/>
      <c r="E836" s="43"/>
      <c r="F836" s="43"/>
      <c r="G836" s="43"/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</row>
    <row r="837">
      <c r="A837" s="43"/>
      <c r="B837" s="43"/>
      <c r="C837" s="43"/>
      <c r="D837" s="43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</row>
    <row r="838">
      <c r="A838" s="43"/>
      <c r="B838" s="43"/>
      <c r="C838" s="43"/>
      <c r="D838" s="43"/>
      <c r="E838" s="43"/>
      <c r="F838" s="43"/>
      <c r="G838" s="43"/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</row>
    <row r="839">
      <c r="A839" s="43"/>
      <c r="B839" s="43"/>
      <c r="C839" s="43"/>
      <c r="D839" s="43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</row>
    <row r="840">
      <c r="A840" s="43"/>
      <c r="B840" s="43"/>
      <c r="C840" s="43"/>
      <c r="D840" s="43"/>
      <c r="E840" s="43"/>
      <c r="F840" s="43"/>
      <c r="G840" s="43"/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</row>
    <row r="841">
      <c r="A841" s="43"/>
      <c r="B841" s="43"/>
      <c r="C841" s="43"/>
      <c r="D841" s="43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</row>
    <row r="842">
      <c r="A842" s="43"/>
      <c r="B842" s="43"/>
      <c r="C842" s="43"/>
      <c r="D842" s="43"/>
      <c r="E842" s="43"/>
      <c r="F842" s="43"/>
      <c r="G842" s="43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</row>
    <row r="843">
      <c r="A843" s="43"/>
      <c r="B843" s="43"/>
      <c r="C843" s="43"/>
      <c r="D843" s="43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</row>
    <row r="844">
      <c r="A844" s="43"/>
      <c r="B844" s="43"/>
      <c r="C844" s="43"/>
      <c r="D844" s="43"/>
      <c r="E844" s="43"/>
      <c r="F844" s="43"/>
      <c r="G844" s="43"/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</row>
    <row r="845">
      <c r="A845" s="43"/>
      <c r="B845" s="43"/>
      <c r="C845" s="43"/>
      <c r="D845" s="43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</row>
    <row r="846">
      <c r="A846" s="43"/>
      <c r="B846" s="43"/>
      <c r="C846" s="43"/>
      <c r="D846" s="43"/>
      <c r="E846" s="43"/>
      <c r="F846" s="43"/>
      <c r="G846" s="43"/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</row>
    <row r="847">
      <c r="A847" s="43"/>
      <c r="B847" s="43"/>
      <c r="C847" s="43"/>
      <c r="D847" s="43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</row>
    <row r="848">
      <c r="A848" s="43"/>
      <c r="B848" s="43"/>
      <c r="C848" s="43"/>
      <c r="D848" s="43"/>
      <c r="E848" s="43"/>
      <c r="F848" s="43"/>
      <c r="G848" s="43"/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</row>
    <row r="849">
      <c r="A849" s="43"/>
      <c r="B849" s="43"/>
      <c r="C849" s="43"/>
      <c r="D849" s="43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</row>
    <row r="850">
      <c r="A850" s="43"/>
      <c r="B850" s="43"/>
      <c r="C850" s="43"/>
      <c r="D850" s="43"/>
      <c r="E850" s="43"/>
      <c r="F850" s="43"/>
      <c r="G850" s="43"/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</row>
    <row r="851">
      <c r="A851" s="43"/>
      <c r="B851" s="43"/>
      <c r="C851" s="43"/>
      <c r="D851" s="43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</row>
    <row r="852">
      <c r="A852" s="43"/>
      <c r="B852" s="43"/>
      <c r="C852" s="43"/>
      <c r="D852" s="43"/>
      <c r="E852" s="43"/>
      <c r="F852" s="43"/>
      <c r="G852" s="43"/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</row>
    <row r="853">
      <c r="A853" s="43"/>
      <c r="B853" s="43"/>
      <c r="C853" s="43"/>
      <c r="D853" s="43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</row>
    <row r="854">
      <c r="A854" s="43"/>
      <c r="B854" s="43"/>
      <c r="C854" s="43"/>
      <c r="D854" s="43"/>
      <c r="E854" s="43"/>
      <c r="F854" s="43"/>
      <c r="G854" s="43"/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</row>
    <row r="855">
      <c r="A855" s="43"/>
      <c r="B855" s="43"/>
      <c r="C855" s="43"/>
      <c r="D855" s="43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</row>
    <row r="856">
      <c r="A856" s="43"/>
      <c r="B856" s="43"/>
      <c r="C856" s="43"/>
      <c r="D856" s="43"/>
      <c r="E856" s="43"/>
      <c r="F856" s="43"/>
      <c r="G856" s="43"/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</row>
    <row r="857">
      <c r="A857" s="43"/>
      <c r="B857" s="43"/>
      <c r="C857" s="43"/>
      <c r="D857" s="43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</row>
    <row r="858">
      <c r="A858" s="43"/>
      <c r="B858" s="43"/>
      <c r="C858" s="43"/>
      <c r="D858" s="43"/>
      <c r="E858" s="43"/>
      <c r="F858" s="43"/>
      <c r="G858" s="43"/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</row>
    <row r="859">
      <c r="A859" s="43"/>
      <c r="B859" s="43"/>
      <c r="C859" s="43"/>
      <c r="D859" s="43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</row>
    <row r="860">
      <c r="A860" s="43"/>
      <c r="B860" s="43"/>
      <c r="C860" s="43"/>
      <c r="D860" s="43"/>
      <c r="E860" s="43"/>
      <c r="F860" s="43"/>
      <c r="G860" s="43"/>
      <c r="H860" s="43"/>
      <c r="I860" s="43"/>
      <c r="J860" s="4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</row>
    <row r="861">
      <c r="A861" s="43"/>
      <c r="B861" s="43"/>
      <c r="C861" s="43"/>
      <c r="D861" s="43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</row>
    <row r="862">
      <c r="A862" s="43"/>
      <c r="B862" s="43"/>
      <c r="C862" s="43"/>
      <c r="D862" s="43"/>
      <c r="E862" s="43"/>
      <c r="F862" s="43"/>
      <c r="G862" s="43"/>
      <c r="H862" s="43"/>
      <c r="I862" s="43"/>
      <c r="J862" s="4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</row>
    <row r="863">
      <c r="A863" s="43"/>
      <c r="B863" s="43"/>
      <c r="C863" s="43"/>
      <c r="D863" s="43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</row>
    <row r="864">
      <c r="A864" s="43"/>
      <c r="B864" s="43"/>
      <c r="C864" s="43"/>
      <c r="D864" s="43"/>
      <c r="E864" s="43"/>
      <c r="F864" s="43"/>
      <c r="G864" s="43"/>
      <c r="H864" s="43"/>
      <c r="I864" s="43"/>
      <c r="J864" s="4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</row>
    <row r="865">
      <c r="A865" s="43"/>
      <c r="B865" s="43"/>
      <c r="C865" s="43"/>
      <c r="D865" s="43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</row>
    <row r="866">
      <c r="A866" s="43"/>
      <c r="B866" s="43"/>
      <c r="C866" s="43"/>
      <c r="D866" s="43"/>
      <c r="E866" s="43"/>
      <c r="F866" s="43"/>
      <c r="G866" s="43"/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</row>
    <row r="867">
      <c r="A867" s="43"/>
      <c r="B867" s="43"/>
      <c r="C867" s="43"/>
      <c r="D867" s="43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</row>
    <row r="868">
      <c r="A868" s="43"/>
      <c r="B868" s="43"/>
      <c r="C868" s="43"/>
      <c r="D868" s="43"/>
      <c r="E868" s="43"/>
      <c r="F868" s="43"/>
      <c r="G868" s="43"/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</row>
    <row r="869">
      <c r="A869" s="43"/>
      <c r="B869" s="43"/>
      <c r="C869" s="43"/>
      <c r="D869" s="43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</row>
    <row r="870">
      <c r="A870" s="43"/>
      <c r="B870" s="43"/>
      <c r="C870" s="43"/>
      <c r="D870" s="43"/>
      <c r="E870" s="43"/>
      <c r="F870" s="43"/>
      <c r="G870" s="43"/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</row>
    <row r="871">
      <c r="A871" s="43"/>
      <c r="B871" s="43"/>
      <c r="C871" s="43"/>
      <c r="D871" s="43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</row>
    <row r="872">
      <c r="A872" s="43"/>
      <c r="B872" s="43"/>
      <c r="C872" s="43"/>
      <c r="D872" s="43"/>
      <c r="E872" s="43"/>
      <c r="F872" s="43"/>
      <c r="G872" s="43"/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</row>
    <row r="873">
      <c r="A873" s="43"/>
      <c r="B873" s="43"/>
      <c r="C873" s="43"/>
      <c r="D873" s="43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</row>
    <row r="874">
      <c r="A874" s="43"/>
      <c r="B874" s="43"/>
      <c r="C874" s="43"/>
      <c r="D874" s="43"/>
      <c r="E874" s="43"/>
      <c r="F874" s="43"/>
      <c r="G874" s="43"/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</row>
    <row r="875">
      <c r="A875" s="43"/>
      <c r="B875" s="43"/>
      <c r="C875" s="43"/>
      <c r="D875" s="43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</row>
    <row r="876">
      <c r="A876" s="43"/>
      <c r="B876" s="43"/>
      <c r="C876" s="43"/>
      <c r="D876" s="43"/>
      <c r="E876" s="43"/>
      <c r="F876" s="43"/>
      <c r="G876" s="43"/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</row>
    <row r="877">
      <c r="A877" s="43"/>
      <c r="B877" s="43"/>
      <c r="C877" s="43"/>
      <c r="D877" s="43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</row>
    <row r="878">
      <c r="A878" s="43"/>
      <c r="B878" s="43"/>
      <c r="C878" s="43"/>
      <c r="D878" s="43"/>
      <c r="E878" s="43"/>
      <c r="F878" s="43"/>
      <c r="G878" s="43"/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</row>
    <row r="879">
      <c r="A879" s="43"/>
      <c r="B879" s="43"/>
      <c r="C879" s="43"/>
      <c r="D879" s="43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</row>
    <row r="880">
      <c r="A880" s="43"/>
      <c r="B880" s="43"/>
      <c r="C880" s="43"/>
      <c r="D880" s="43"/>
      <c r="E880" s="43"/>
      <c r="F880" s="43"/>
      <c r="G880" s="43"/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</row>
    <row r="881">
      <c r="A881" s="43"/>
      <c r="B881" s="43"/>
      <c r="C881" s="43"/>
      <c r="D881" s="43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</row>
    <row r="882">
      <c r="A882" s="43"/>
      <c r="B882" s="43"/>
      <c r="C882" s="43"/>
      <c r="D882" s="43"/>
      <c r="E882" s="43"/>
      <c r="F882" s="43"/>
      <c r="G882" s="43"/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</row>
    <row r="883">
      <c r="A883" s="43"/>
      <c r="B883" s="43"/>
      <c r="C883" s="43"/>
      <c r="D883" s="43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</row>
    <row r="884">
      <c r="A884" s="43"/>
      <c r="B884" s="43"/>
      <c r="C884" s="43"/>
      <c r="D884" s="43"/>
      <c r="E884" s="43"/>
      <c r="F884" s="43"/>
      <c r="G884" s="43"/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</row>
    <row r="885">
      <c r="A885" s="43"/>
      <c r="B885" s="43"/>
      <c r="C885" s="43"/>
      <c r="D885" s="43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</row>
    <row r="886">
      <c r="A886" s="43"/>
      <c r="B886" s="43"/>
      <c r="C886" s="43"/>
      <c r="D886" s="43"/>
      <c r="E886" s="43"/>
      <c r="F886" s="43"/>
      <c r="G886" s="43"/>
      <c r="H886" s="43"/>
      <c r="I886" s="43"/>
      <c r="J886" s="4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</row>
    <row r="887">
      <c r="A887" s="43"/>
      <c r="B887" s="43"/>
      <c r="C887" s="43"/>
      <c r="D887" s="43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</row>
    <row r="888">
      <c r="A888" s="43"/>
      <c r="B888" s="43"/>
      <c r="C888" s="43"/>
      <c r="D888" s="43"/>
      <c r="E888" s="43"/>
      <c r="F888" s="43"/>
      <c r="G888" s="43"/>
      <c r="H888" s="43"/>
      <c r="I888" s="43"/>
      <c r="J888" s="4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</row>
    <row r="889">
      <c r="A889" s="43"/>
      <c r="B889" s="43"/>
      <c r="C889" s="43"/>
      <c r="D889" s="43"/>
      <c r="E889" s="43"/>
      <c r="F889" s="43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</row>
    <row r="890">
      <c r="A890" s="43"/>
      <c r="B890" s="43"/>
      <c r="C890" s="43"/>
      <c r="D890" s="43"/>
      <c r="E890" s="43"/>
      <c r="F890" s="43"/>
      <c r="G890" s="43"/>
      <c r="H890" s="43"/>
      <c r="I890" s="43"/>
      <c r="J890" s="4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</row>
    <row r="891">
      <c r="A891" s="43"/>
      <c r="B891" s="43"/>
      <c r="C891" s="43"/>
      <c r="D891" s="43"/>
      <c r="E891" s="43"/>
      <c r="F891" s="43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</row>
    <row r="892">
      <c r="A892" s="43"/>
      <c r="B892" s="43"/>
      <c r="C892" s="43"/>
      <c r="D892" s="43"/>
      <c r="E892" s="43"/>
      <c r="F892" s="43"/>
      <c r="G892" s="43"/>
      <c r="H892" s="43"/>
      <c r="I892" s="43"/>
      <c r="J892" s="4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</row>
    <row r="893">
      <c r="A893" s="43"/>
      <c r="B893" s="43"/>
      <c r="C893" s="43"/>
      <c r="D893" s="43"/>
      <c r="E893" s="43"/>
      <c r="F893" s="43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</row>
    <row r="894">
      <c r="A894" s="43"/>
      <c r="B894" s="43"/>
      <c r="C894" s="43"/>
      <c r="D894" s="43"/>
      <c r="E894" s="43"/>
      <c r="F894" s="43"/>
      <c r="G894" s="43"/>
      <c r="H894" s="43"/>
      <c r="I894" s="43"/>
      <c r="J894" s="4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</row>
    <row r="895">
      <c r="A895" s="43"/>
      <c r="B895" s="43"/>
      <c r="C895" s="43"/>
      <c r="D895" s="43"/>
      <c r="E895" s="43"/>
      <c r="F895" s="43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</row>
    <row r="896">
      <c r="A896" s="43"/>
      <c r="B896" s="43"/>
      <c r="C896" s="43"/>
      <c r="D896" s="43"/>
      <c r="E896" s="43"/>
      <c r="F896" s="43"/>
      <c r="G896" s="43"/>
      <c r="H896" s="43"/>
      <c r="I896" s="43"/>
      <c r="J896" s="4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</row>
    <row r="897">
      <c r="A897" s="43"/>
      <c r="B897" s="43"/>
      <c r="C897" s="43"/>
      <c r="D897" s="43"/>
      <c r="E897" s="43"/>
      <c r="F897" s="43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</row>
    <row r="898">
      <c r="A898" s="43"/>
      <c r="B898" s="43"/>
      <c r="C898" s="43"/>
      <c r="D898" s="43"/>
      <c r="E898" s="43"/>
      <c r="F898" s="43"/>
      <c r="G898" s="43"/>
      <c r="H898" s="43"/>
      <c r="I898" s="43"/>
      <c r="J898" s="4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</row>
    <row r="899">
      <c r="A899" s="43"/>
      <c r="B899" s="43"/>
      <c r="C899" s="43"/>
      <c r="D899" s="43"/>
      <c r="E899" s="43"/>
      <c r="F899" s="43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</row>
    <row r="900">
      <c r="A900" s="43"/>
      <c r="B900" s="43"/>
      <c r="C900" s="43"/>
      <c r="D900" s="43"/>
      <c r="E900" s="43"/>
      <c r="F900" s="43"/>
      <c r="G900" s="43"/>
      <c r="H900" s="43"/>
      <c r="I900" s="43"/>
      <c r="J900" s="4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</row>
    <row r="901">
      <c r="A901" s="43"/>
      <c r="B901" s="43"/>
      <c r="C901" s="43"/>
      <c r="D901" s="43"/>
      <c r="E901" s="43"/>
      <c r="F901" s="43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</row>
    <row r="902">
      <c r="A902" s="43"/>
      <c r="B902" s="43"/>
      <c r="C902" s="43"/>
      <c r="D902" s="43"/>
      <c r="E902" s="43"/>
      <c r="F902" s="43"/>
      <c r="G902" s="43"/>
      <c r="H902" s="43"/>
      <c r="I902" s="43"/>
      <c r="J902" s="4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</row>
    <row r="903">
      <c r="A903" s="43"/>
      <c r="B903" s="43"/>
      <c r="C903" s="43"/>
      <c r="D903" s="43"/>
      <c r="E903" s="43"/>
      <c r="F903" s="43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</row>
    <row r="904">
      <c r="A904" s="43"/>
      <c r="B904" s="43"/>
      <c r="C904" s="43"/>
      <c r="D904" s="43"/>
      <c r="E904" s="43"/>
      <c r="F904" s="43"/>
      <c r="G904" s="43"/>
      <c r="H904" s="43"/>
      <c r="I904" s="43"/>
      <c r="J904" s="4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</row>
    <row r="905">
      <c r="A905" s="43"/>
      <c r="B905" s="43"/>
      <c r="C905" s="43"/>
      <c r="D905" s="43"/>
      <c r="E905" s="43"/>
      <c r="F905" s="43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</row>
    <row r="906">
      <c r="A906" s="43"/>
      <c r="B906" s="43"/>
      <c r="C906" s="43"/>
      <c r="D906" s="43"/>
      <c r="E906" s="43"/>
      <c r="F906" s="43"/>
      <c r="G906" s="43"/>
      <c r="H906" s="43"/>
      <c r="I906" s="43"/>
      <c r="J906" s="4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</row>
    <row r="907">
      <c r="A907" s="43"/>
      <c r="B907" s="43"/>
      <c r="C907" s="43"/>
      <c r="D907" s="43"/>
      <c r="E907" s="43"/>
      <c r="F907" s="43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</row>
    <row r="908">
      <c r="A908" s="43"/>
      <c r="B908" s="43"/>
      <c r="C908" s="43"/>
      <c r="D908" s="43"/>
      <c r="E908" s="43"/>
      <c r="F908" s="43"/>
      <c r="G908" s="43"/>
      <c r="H908" s="43"/>
      <c r="I908" s="43"/>
      <c r="J908" s="4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</row>
    <row r="909">
      <c r="A909" s="43"/>
      <c r="B909" s="43"/>
      <c r="C909" s="43"/>
      <c r="D909" s="43"/>
      <c r="E909" s="43"/>
      <c r="F909" s="43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</row>
    <row r="910">
      <c r="A910" s="43"/>
      <c r="B910" s="43"/>
      <c r="C910" s="43"/>
      <c r="D910" s="43"/>
      <c r="E910" s="43"/>
      <c r="F910" s="43"/>
      <c r="G910" s="43"/>
      <c r="H910" s="43"/>
      <c r="I910" s="43"/>
      <c r="J910" s="4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</row>
    <row r="911">
      <c r="A911" s="43"/>
      <c r="B911" s="43"/>
      <c r="C911" s="43"/>
      <c r="D911" s="43"/>
      <c r="E911" s="43"/>
      <c r="F911" s="43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</row>
    <row r="912">
      <c r="A912" s="43"/>
      <c r="B912" s="43"/>
      <c r="C912" s="43"/>
      <c r="D912" s="43"/>
      <c r="E912" s="43"/>
      <c r="F912" s="43"/>
      <c r="G912" s="43"/>
      <c r="H912" s="43"/>
      <c r="I912" s="43"/>
      <c r="J912" s="4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</row>
    <row r="913">
      <c r="A913" s="43"/>
      <c r="B913" s="43"/>
      <c r="C913" s="43"/>
      <c r="D913" s="43"/>
      <c r="E913" s="43"/>
      <c r="F913" s="43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</row>
    <row r="914">
      <c r="A914" s="43"/>
      <c r="B914" s="43"/>
      <c r="C914" s="43"/>
      <c r="D914" s="43"/>
      <c r="E914" s="43"/>
      <c r="F914" s="43"/>
      <c r="G914" s="43"/>
      <c r="H914" s="43"/>
      <c r="I914" s="43"/>
      <c r="J914" s="4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</row>
    <row r="915">
      <c r="A915" s="43"/>
      <c r="B915" s="43"/>
      <c r="C915" s="43"/>
      <c r="D915" s="43"/>
      <c r="E915" s="43"/>
      <c r="F915" s="43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</row>
    <row r="916">
      <c r="A916" s="43"/>
      <c r="B916" s="43"/>
      <c r="C916" s="43"/>
      <c r="D916" s="43"/>
      <c r="E916" s="43"/>
      <c r="F916" s="43"/>
      <c r="G916" s="43"/>
      <c r="H916" s="43"/>
      <c r="I916" s="43"/>
      <c r="J916" s="4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</row>
    <row r="917">
      <c r="A917" s="43"/>
      <c r="B917" s="43"/>
      <c r="C917" s="43"/>
      <c r="D917" s="43"/>
      <c r="E917" s="43"/>
      <c r="F917" s="43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</row>
    <row r="918">
      <c r="A918" s="43"/>
      <c r="B918" s="43"/>
      <c r="C918" s="43"/>
      <c r="D918" s="43"/>
      <c r="E918" s="43"/>
      <c r="F918" s="43"/>
      <c r="G918" s="43"/>
      <c r="H918" s="43"/>
      <c r="I918" s="43"/>
      <c r="J918" s="4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</row>
    <row r="919">
      <c r="A919" s="43"/>
      <c r="B919" s="43"/>
      <c r="C919" s="43"/>
      <c r="D919" s="43"/>
      <c r="E919" s="43"/>
      <c r="F919" s="43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</row>
    <row r="920">
      <c r="A920" s="43"/>
      <c r="B920" s="43"/>
      <c r="C920" s="43"/>
      <c r="D920" s="43"/>
      <c r="E920" s="43"/>
      <c r="F920" s="43"/>
      <c r="G920" s="43"/>
      <c r="H920" s="43"/>
      <c r="I920" s="43"/>
      <c r="J920" s="4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</row>
    <row r="921">
      <c r="A921" s="43"/>
      <c r="B921" s="43"/>
      <c r="C921" s="43"/>
      <c r="D921" s="43"/>
      <c r="E921" s="43"/>
      <c r="F921" s="43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</row>
    <row r="922">
      <c r="A922" s="43"/>
      <c r="B922" s="43"/>
      <c r="C922" s="43"/>
      <c r="D922" s="43"/>
      <c r="E922" s="43"/>
      <c r="F922" s="43"/>
      <c r="G922" s="43"/>
      <c r="H922" s="43"/>
      <c r="I922" s="43"/>
      <c r="J922" s="4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</row>
    <row r="923">
      <c r="A923" s="43"/>
      <c r="B923" s="43"/>
      <c r="C923" s="43"/>
      <c r="D923" s="43"/>
      <c r="E923" s="43"/>
      <c r="F923" s="43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</row>
    <row r="924">
      <c r="A924" s="43"/>
      <c r="B924" s="43"/>
      <c r="C924" s="43"/>
      <c r="D924" s="43"/>
      <c r="E924" s="43"/>
      <c r="F924" s="43"/>
      <c r="G924" s="43"/>
      <c r="H924" s="43"/>
      <c r="I924" s="43"/>
      <c r="J924" s="4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</row>
    <row r="925">
      <c r="A925" s="43"/>
      <c r="B925" s="43"/>
      <c r="C925" s="43"/>
      <c r="D925" s="43"/>
      <c r="E925" s="43"/>
      <c r="F925" s="43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</row>
    <row r="926">
      <c r="A926" s="43"/>
      <c r="B926" s="43"/>
      <c r="C926" s="43"/>
      <c r="D926" s="43"/>
      <c r="E926" s="43"/>
      <c r="F926" s="43"/>
      <c r="G926" s="43"/>
      <c r="H926" s="43"/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</row>
    <row r="927">
      <c r="A927" s="43"/>
      <c r="B927" s="43"/>
      <c r="C927" s="43"/>
      <c r="D927" s="43"/>
      <c r="E927" s="43"/>
      <c r="F927" s="43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</row>
    <row r="928">
      <c r="A928" s="43"/>
      <c r="B928" s="43"/>
      <c r="C928" s="43"/>
      <c r="D928" s="43"/>
      <c r="E928" s="43"/>
      <c r="F928" s="43"/>
      <c r="G928" s="43"/>
      <c r="H928" s="43"/>
      <c r="I928" s="43"/>
      <c r="J928" s="4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</row>
    <row r="929">
      <c r="A929" s="43"/>
      <c r="B929" s="43"/>
      <c r="C929" s="43"/>
      <c r="D929" s="43"/>
      <c r="E929" s="43"/>
      <c r="F929" s="43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</row>
    <row r="930">
      <c r="A930" s="43"/>
      <c r="B930" s="43"/>
      <c r="C930" s="43"/>
      <c r="D930" s="43"/>
      <c r="E930" s="43"/>
      <c r="F930" s="43"/>
      <c r="G930" s="43"/>
      <c r="H930" s="43"/>
      <c r="I930" s="43"/>
      <c r="J930" s="4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</row>
    <row r="931">
      <c r="A931" s="43"/>
      <c r="B931" s="43"/>
      <c r="C931" s="43"/>
      <c r="D931" s="43"/>
      <c r="E931" s="43"/>
      <c r="F931" s="43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</row>
    <row r="932">
      <c r="A932" s="43"/>
      <c r="B932" s="43"/>
      <c r="C932" s="43"/>
      <c r="D932" s="43"/>
      <c r="E932" s="43"/>
      <c r="F932" s="43"/>
      <c r="G932" s="43"/>
      <c r="H932" s="43"/>
      <c r="I932" s="43"/>
      <c r="J932" s="4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</row>
    <row r="933">
      <c r="A933" s="43"/>
      <c r="B933" s="43"/>
      <c r="C933" s="43"/>
      <c r="D933" s="43"/>
      <c r="E933" s="43"/>
      <c r="F933" s="43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</row>
    <row r="934">
      <c r="A934" s="43"/>
      <c r="B934" s="43"/>
      <c r="C934" s="43"/>
      <c r="D934" s="43"/>
      <c r="E934" s="43"/>
      <c r="F934" s="43"/>
      <c r="G934" s="43"/>
      <c r="H934" s="43"/>
      <c r="I934" s="43"/>
      <c r="J934" s="4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</row>
    <row r="935">
      <c r="A935" s="43"/>
      <c r="B935" s="43"/>
      <c r="C935" s="43"/>
      <c r="D935" s="43"/>
      <c r="E935" s="43"/>
      <c r="F935" s="43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</row>
    <row r="936">
      <c r="A936" s="43"/>
      <c r="B936" s="43"/>
      <c r="C936" s="43"/>
      <c r="D936" s="43"/>
      <c r="E936" s="43"/>
      <c r="F936" s="43"/>
      <c r="G936" s="43"/>
      <c r="H936" s="43"/>
      <c r="I936" s="43"/>
      <c r="J936" s="4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</row>
    <row r="937">
      <c r="A937" s="43"/>
      <c r="B937" s="43"/>
      <c r="C937" s="43"/>
      <c r="D937" s="43"/>
      <c r="E937" s="43"/>
      <c r="F937" s="43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</row>
    <row r="938">
      <c r="A938" s="43"/>
      <c r="B938" s="43"/>
      <c r="C938" s="43"/>
      <c r="D938" s="43"/>
      <c r="E938" s="43"/>
      <c r="F938" s="43"/>
      <c r="G938" s="43"/>
      <c r="H938" s="43"/>
      <c r="I938" s="43"/>
      <c r="J938" s="4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</row>
    <row r="939">
      <c r="A939" s="43"/>
      <c r="B939" s="43"/>
      <c r="C939" s="43"/>
      <c r="D939" s="43"/>
      <c r="E939" s="43"/>
      <c r="F939" s="43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</row>
    <row r="940">
      <c r="A940" s="43"/>
      <c r="B940" s="43"/>
      <c r="C940" s="43"/>
      <c r="D940" s="43"/>
      <c r="E940" s="43"/>
      <c r="F940" s="43"/>
      <c r="G940" s="43"/>
      <c r="H940" s="43"/>
      <c r="I940" s="43"/>
      <c r="J940" s="4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</row>
    <row r="941">
      <c r="A941" s="43"/>
      <c r="B941" s="43"/>
      <c r="C941" s="43"/>
      <c r="D941" s="43"/>
      <c r="E941" s="43"/>
      <c r="F941" s="43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</row>
    <row r="942">
      <c r="A942" s="43"/>
      <c r="B942" s="43"/>
      <c r="C942" s="43"/>
      <c r="D942" s="43"/>
      <c r="E942" s="43"/>
      <c r="F942" s="43"/>
      <c r="G942" s="43"/>
      <c r="H942" s="43"/>
      <c r="I942" s="43"/>
      <c r="J942" s="4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</row>
    <row r="943">
      <c r="A943" s="43"/>
      <c r="B943" s="43"/>
      <c r="C943" s="43"/>
      <c r="D943" s="43"/>
      <c r="E943" s="43"/>
      <c r="F943" s="43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</row>
    <row r="944">
      <c r="A944" s="43"/>
      <c r="B944" s="43"/>
      <c r="C944" s="43"/>
      <c r="D944" s="43"/>
      <c r="E944" s="43"/>
      <c r="F944" s="43"/>
      <c r="G944" s="43"/>
      <c r="H944" s="43"/>
      <c r="I944" s="43"/>
      <c r="J944" s="4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</row>
    <row r="945">
      <c r="A945" s="43"/>
      <c r="B945" s="43"/>
      <c r="C945" s="43"/>
      <c r="D945" s="43"/>
      <c r="E945" s="43"/>
      <c r="F945" s="43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</row>
    <row r="946">
      <c r="A946" s="43"/>
      <c r="B946" s="43"/>
      <c r="C946" s="43"/>
      <c r="D946" s="43"/>
      <c r="E946" s="43"/>
      <c r="F946" s="43"/>
      <c r="G946" s="43"/>
      <c r="H946" s="43"/>
      <c r="I946" s="43"/>
      <c r="J946" s="4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</row>
    <row r="947">
      <c r="A947" s="43"/>
      <c r="B947" s="43"/>
      <c r="C947" s="43"/>
      <c r="D947" s="43"/>
      <c r="E947" s="43"/>
      <c r="F947" s="43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</row>
    <row r="948">
      <c r="A948" s="43"/>
      <c r="B948" s="43"/>
      <c r="C948" s="43"/>
      <c r="D948" s="43"/>
      <c r="E948" s="43"/>
      <c r="F948" s="43"/>
      <c r="G948" s="43"/>
      <c r="H948" s="43"/>
      <c r="I948" s="43"/>
      <c r="J948" s="4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</row>
    <row r="949">
      <c r="A949" s="43"/>
      <c r="B949" s="43"/>
      <c r="C949" s="43"/>
      <c r="D949" s="43"/>
      <c r="E949" s="43"/>
      <c r="F949" s="43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</row>
    <row r="950">
      <c r="A950" s="43"/>
      <c r="B950" s="43"/>
      <c r="C950" s="43"/>
      <c r="D950" s="43"/>
      <c r="E950" s="43"/>
      <c r="F950" s="43"/>
      <c r="G950" s="43"/>
      <c r="H950" s="43"/>
      <c r="I950" s="43"/>
      <c r="J950" s="4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</row>
    <row r="951">
      <c r="A951" s="43"/>
      <c r="B951" s="43"/>
      <c r="C951" s="43"/>
      <c r="D951" s="43"/>
      <c r="E951" s="43"/>
      <c r="F951" s="43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</row>
    <row r="952">
      <c r="A952" s="43"/>
      <c r="B952" s="43"/>
      <c r="C952" s="43"/>
      <c r="D952" s="43"/>
      <c r="E952" s="43"/>
      <c r="F952" s="43"/>
      <c r="G952" s="43"/>
      <c r="H952" s="43"/>
      <c r="I952" s="43"/>
      <c r="J952" s="4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</row>
    <row r="953">
      <c r="A953" s="43"/>
      <c r="B953" s="43"/>
      <c r="C953" s="43"/>
      <c r="D953" s="43"/>
      <c r="E953" s="43"/>
      <c r="F953" s="43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</row>
    <row r="954">
      <c r="A954" s="43"/>
      <c r="B954" s="43"/>
      <c r="C954" s="43"/>
      <c r="D954" s="43"/>
      <c r="E954" s="43"/>
      <c r="F954" s="43"/>
      <c r="G954" s="43"/>
      <c r="H954" s="43"/>
      <c r="I954" s="43"/>
      <c r="J954" s="4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</row>
    <row r="955">
      <c r="A955" s="43"/>
      <c r="B955" s="43"/>
      <c r="C955" s="43"/>
      <c r="D955" s="43"/>
      <c r="E955" s="43"/>
      <c r="F955" s="43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</row>
    <row r="956">
      <c r="A956" s="43"/>
      <c r="B956" s="43"/>
      <c r="C956" s="43"/>
      <c r="D956" s="43"/>
      <c r="E956" s="43"/>
      <c r="F956" s="43"/>
      <c r="G956" s="43"/>
      <c r="H956" s="43"/>
      <c r="I956" s="43"/>
      <c r="J956" s="4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</row>
    <row r="957">
      <c r="A957" s="43"/>
      <c r="B957" s="43"/>
      <c r="C957" s="43"/>
      <c r="D957" s="43"/>
      <c r="E957" s="43"/>
      <c r="F957" s="43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</row>
    <row r="958">
      <c r="A958" s="43"/>
      <c r="B958" s="43"/>
      <c r="C958" s="43"/>
      <c r="D958" s="43"/>
      <c r="E958" s="43"/>
      <c r="F958" s="43"/>
      <c r="G958" s="43"/>
      <c r="H958" s="43"/>
      <c r="I958" s="43"/>
      <c r="J958" s="4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</row>
    <row r="959">
      <c r="A959" s="43"/>
      <c r="B959" s="43"/>
      <c r="C959" s="43"/>
      <c r="D959" s="43"/>
      <c r="E959" s="43"/>
      <c r="F959" s="43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</row>
    <row r="960">
      <c r="A960" s="43"/>
      <c r="B960" s="43"/>
      <c r="C960" s="43"/>
      <c r="D960" s="43"/>
      <c r="E960" s="43"/>
      <c r="F960" s="43"/>
      <c r="G960" s="43"/>
      <c r="H960" s="43"/>
      <c r="I960" s="43"/>
      <c r="J960" s="4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</row>
    <row r="961">
      <c r="A961" s="43"/>
      <c r="B961" s="43"/>
      <c r="C961" s="43"/>
      <c r="D961" s="43"/>
      <c r="E961" s="43"/>
      <c r="F961" s="43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</row>
    <row r="962">
      <c r="A962" s="43"/>
      <c r="B962" s="43"/>
      <c r="C962" s="43"/>
      <c r="D962" s="43"/>
      <c r="E962" s="43"/>
      <c r="F962" s="43"/>
      <c r="G962" s="43"/>
      <c r="H962" s="43"/>
      <c r="I962" s="43"/>
      <c r="J962" s="4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</row>
    <row r="963">
      <c r="A963" s="43"/>
      <c r="B963" s="43"/>
      <c r="C963" s="43"/>
      <c r="D963" s="43"/>
      <c r="E963" s="43"/>
      <c r="F963" s="43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</row>
    <row r="964">
      <c r="A964" s="43"/>
      <c r="B964" s="43"/>
      <c r="C964" s="43"/>
      <c r="D964" s="43"/>
      <c r="E964" s="43"/>
      <c r="F964" s="43"/>
      <c r="G964" s="43"/>
      <c r="H964" s="43"/>
      <c r="I964" s="43"/>
      <c r="J964" s="4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</row>
    <row r="965">
      <c r="A965" s="43"/>
      <c r="B965" s="43"/>
      <c r="C965" s="43"/>
      <c r="D965" s="43"/>
      <c r="E965" s="43"/>
      <c r="F965" s="43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</row>
    <row r="966">
      <c r="A966" s="43"/>
      <c r="B966" s="43"/>
      <c r="C966" s="43"/>
      <c r="D966" s="43"/>
      <c r="E966" s="43"/>
      <c r="F966" s="43"/>
      <c r="G966" s="43"/>
      <c r="H966" s="43"/>
      <c r="I966" s="43"/>
      <c r="J966" s="4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</row>
    <row r="967">
      <c r="A967" s="43"/>
      <c r="B967" s="43"/>
      <c r="C967" s="43"/>
      <c r="D967" s="43"/>
      <c r="E967" s="43"/>
      <c r="F967" s="43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</row>
    <row r="968">
      <c r="A968" s="43"/>
      <c r="B968" s="43"/>
      <c r="C968" s="43"/>
      <c r="D968" s="43"/>
      <c r="E968" s="43"/>
      <c r="F968" s="43"/>
      <c r="G968" s="43"/>
      <c r="H968" s="43"/>
      <c r="I968" s="43"/>
      <c r="J968" s="4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</row>
    <row r="969">
      <c r="A969" s="43"/>
      <c r="B969" s="43"/>
      <c r="C969" s="43"/>
      <c r="D969" s="43"/>
      <c r="E969" s="43"/>
      <c r="F969" s="43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</row>
    <row r="970">
      <c r="A970" s="43"/>
      <c r="B970" s="43"/>
      <c r="C970" s="43"/>
      <c r="D970" s="43"/>
      <c r="E970" s="43"/>
      <c r="F970" s="43"/>
      <c r="G970" s="43"/>
      <c r="H970" s="43"/>
      <c r="I970" s="43"/>
      <c r="J970" s="4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</row>
    <row r="971">
      <c r="A971" s="43"/>
      <c r="B971" s="43"/>
      <c r="C971" s="43"/>
      <c r="D971" s="43"/>
      <c r="E971" s="43"/>
      <c r="F971" s="43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</row>
    <row r="972">
      <c r="A972" s="43"/>
      <c r="B972" s="43"/>
      <c r="C972" s="43"/>
      <c r="D972" s="43"/>
      <c r="E972" s="43"/>
      <c r="F972" s="43"/>
      <c r="G972" s="43"/>
      <c r="H972" s="43"/>
      <c r="I972" s="43"/>
      <c r="J972" s="4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</row>
    <row r="973">
      <c r="A973" s="43"/>
      <c r="B973" s="43"/>
      <c r="C973" s="43"/>
      <c r="D973" s="43"/>
      <c r="E973" s="43"/>
      <c r="F973" s="43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</row>
    <row r="974">
      <c r="A974" s="43"/>
      <c r="B974" s="43"/>
      <c r="C974" s="43"/>
      <c r="D974" s="43"/>
      <c r="E974" s="43"/>
      <c r="F974" s="43"/>
      <c r="G974" s="43"/>
      <c r="H974" s="43"/>
      <c r="I974" s="43"/>
      <c r="J974" s="4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</row>
    <row r="975">
      <c r="A975" s="43"/>
      <c r="B975" s="43"/>
      <c r="C975" s="43"/>
      <c r="D975" s="43"/>
      <c r="E975" s="43"/>
      <c r="F975" s="43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</row>
    <row r="976">
      <c r="A976" s="43"/>
      <c r="B976" s="43"/>
      <c r="C976" s="43"/>
      <c r="D976" s="43"/>
      <c r="E976" s="43"/>
      <c r="F976" s="43"/>
      <c r="G976" s="43"/>
      <c r="H976" s="43"/>
      <c r="I976" s="43"/>
      <c r="J976" s="4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</row>
    <row r="977">
      <c r="A977" s="43"/>
      <c r="B977" s="43"/>
      <c r="C977" s="43"/>
      <c r="D977" s="43"/>
      <c r="E977" s="43"/>
      <c r="F977" s="43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</row>
    <row r="978">
      <c r="A978" s="43"/>
      <c r="B978" s="43"/>
      <c r="C978" s="43"/>
      <c r="D978" s="43"/>
      <c r="E978" s="43"/>
      <c r="F978" s="43"/>
      <c r="G978" s="43"/>
      <c r="H978" s="43"/>
      <c r="I978" s="43"/>
      <c r="J978" s="4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</row>
    <row r="979">
      <c r="A979" s="43"/>
      <c r="B979" s="43"/>
      <c r="C979" s="43"/>
      <c r="D979" s="43"/>
      <c r="E979" s="43"/>
      <c r="F979" s="43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</row>
    <row r="980">
      <c r="A980" s="43"/>
      <c r="B980" s="43"/>
      <c r="C980" s="43"/>
      <c r="D980" s="43"/>
      <c r="E980" s="43"/>
      <c r="F980" s="43"/>
      <c r="G980" s="43"/>
      <c r="H980" s="43"/>
      <c r="I980" s="43"/>
      <c r="J980" s="4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</row>
    <row r="981">
      <c r="A981" s="43"/>
      <c r="B981" s="43"/>
      <c r="C981" s="43"/>
      <c r="D981" s="43"/>
      <c r="E981" s="43"/>
      <c r="F981" s="43"/>
      <c r="G981" s="43"/>
      <c r="H981" s="43"/>
      <c r="I981" s="43"/>
      <c r="J981" s="4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</row>
    <row r="982">
      <c r="A982" s="43"/>
      <c r="B982" s="43"/>
      <c r="C982" s="43"/>
      <c r="D982" s="43"/>
      <c r="E982" s="43"/>
      <c r="F982" s="43"/>
      <c r="G982" s="43"/>
      <c r="H982" s="43"/>
      <c r="I982" s="43"/>
      <c r="J982" s="4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</row>
    <row r="983">
      <c r="A983" s="43"/>
      <c r="B983" s="43"/>
      <c r="C983" s="43"/>
      <c r="D983" s="43"/>
      <c r="E983" s="43"/>
      <c r="F983" s="43"/>
      <c r="G983" s="43"/>
      <c r="H983" s="43"/>
      <c r="I983" s="43"/>
      <c r="J983" s="4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</row>
    <row r="984">
      <c r="A984" s="43"/>
      <c r="B984" s="43"/>
      <c r="C984" s="43"/>
      <c r="D984" s="43"/>
      <c r="E984" s="43"/>
      <c r="F984" s="43"/>
      <c r="G984" s="43"/>
      <c r="H984" s="43"/>
      <c r="I984" s="43"/>
      <c r="J984" s="4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</row>
    <row r="985">
      <c r="A985" s="43"/>
      <c r="B985" s="43"/>
      <c r="C985" s="43"/>
      <c r="D985" s="43"/>
      <c r="E985" s="43"/>
      <c r="F985" s="43"/>
      <c r="G985" s="43"/>
      <c r="H985" s="43"/>
      <c r="I985" s="43"/>
      <c r="J985" s="4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</row>
    <row r="986">
      <c r="A986" s="43"/>
      <c r="B986" s="43"/>
      <c r="C986" s="43"/>
      <c r="D986" s="43"/>
      <c r="E986" s="43"/>
      <c r="F986" s="43"/>
      <c r="G986" s="43"/>
      <c r="H986" s="43"/>
      <c r="I986" s="43"/>
      <c r="J986" s="4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</row>
    <row r="987">
      <c r="A987" s="43"/>
      <c r="B987" s="43"/>
      <c r="C987" s="43"/>
      <c r="D987" s="43"/>
      <c r="E987" s="43"/>
      <c r="F987" s="43"/>
      <c r="G987" s="43"/>
      <c r="H987" s="43"/>
      <c r="I987" s="43"/>
      <c r="J987" s="4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</row>
    <row r="988">
      <c r="A988" s="43"/>
      <c r="B988" s="43"/>
      <c r="C988" s="43"/>
      <c r="D988" s="43"/>
      <c r="E988" s="43"/>
      <c r="F988" s="43"/>
      <c r="G988" s="43"/>
      <c r="H988" s="43"/>
      <c r="I988" s="43"/>
      <c r="J988" s="4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</row>
    <row r="989">
      <c r="A989" s="43"/>
      <c r="B989" s="43"/>
      <c r="C989" s="43"/>
      <c r="D989" s="43"/>
      <c r="E989" s="43"/>
      <c r="F989" s="43"/>
      <c r="G989" s="43"/>
      <c r="H989" s="43"/>
      <c r="I989" s="43"/>
      <c r="J989" s="4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</row>
    <row r="990">
      <c r="A990" s="43"/>
      <c r="B990" s="43"/>
      <c r="C990" s="43"/>
      <c r="D990" s="43"/>
      <c r="E990" s="43"/>
      <c r="F990" s="43"/>
      <c r="G990" s="43"/>
      <c r="H990" s="43"/>
      <c r="I990" s="43"/>
      <c r="J990" s="4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</row>
    <row r="991">
      <c r="A991" s="43"/>
      <c r="B991" s="43"/>
      <c r="C991" s="43"/>
      <c r="D991" s="43"/>
      <c r="E991" s="43"/>
      <c r="F991" s="43"/>
      <c r="G991" s="43"/>
      <c r="H991" s="43"/>
      <c r="I991" s="43"/>
      <c r="J991" s="4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</row>
    <row r="992">
      <c r="A992" s="43"/>
      <c r="B992" s="43"/>
      <c r="C992" s="43"/>
      <c r="D992" s="43"/>
      <c r="E992" s="43"/>
      <c r="F992" s="43"/>
      <c r="G992" s="43"/>
      <c r="H992" s="43"/>
      <c r="I992" s="43"/>
      <c r="J992" s="4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</row>
    <row r="993">
      <c r="A993" s="43"/>
      <c r="B993" s="43"/>
      <c r="C993" s="43"/>
      <c r="D993" s="43"/>
      <c r="E993" s="43"/>
      <c r="F993" s="43"/>
      <c r="G993" s="43"/>
      <c r="H993" s="43"/>
      <c r="I993" s="43"/>
      <c r="J993" s="4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</row>
    <row r="994">
      <c r="A994" s="43"/>
      <c r="B994" s="43"/>
      <c r="C994" s="43"/>
      <c r="D994" s="43"/>
      <c r="E994" s="43"/>
      <c r="F994" s="43"/>
      <c r="G994" s="43"/>
      <c r="H994" s="43"/>
      <c r="I994" s="43"/>
      <c r="J994" s="4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</row>
    <row r="995">
      <c r="A995" s="43"/>
      <c r="B995" s="43"/>
      <c r="C995" s="43"/>
      <c r="D995" s="43"/>
      <c r="E995" s="43"/>
      <c r="F995" s="43"/>
      <c r="G995" s="43"/>
      <c r="H995" s="43"/>
      <c r="I995" s="43"/>
      <c r="J995" s="4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</row>
    <row r="996">
      <c r="A996" s="43"/>
      <c r="B996" s="43"/>
      <c r="C996" s="43"/>
      <c r="D996" s="43"/>
      <c r="E996" s="43"/>
      <c r="F996" s="43"/>
      <c r="G996" s="43"/>
      <c r="H996" s="43"/>
      <c r="I996" s="43"/>
      <c r="J996" s="4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</row>
    <row r="997">
      <c r="A997" s="43"/>
      <c r="B997" s="43"/>
      <c r="C997" s="43"/>
      <c r="D997" s="43"/>
      <c r="E997" s="43"/>
      <c r="F997" s="43"/>
      <c r="G997" s="43"/>
      <c r="H997" s="43"/>
      <c r="I997" s="43"/>
      <c r="J997" s="4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</row>
    <row r="998">
      <c r="A998" s="43"/>
      <c r="B998" s="43"/>
      <c r="C998" s="43"/>
      <c r="D998" s="43"/>
      <c r="E998" s="43"/>
      <c r="F998" s="43"/>
      <c r="G998" s="43"/>
      <c r="H998" s="43"/>
      <c r="I998" s="43"/>
      <c r="J998" s="4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</row>
    <row r="999">
      <c r="A999" s="43"/>
      <c r="B999" s="43"/>
      <c r="C999" s="43"/>
      <c r="D999" s="43"/>
      <c r="E999" s="43"/>
      <c r="F999" s="43"/>
      <c r="G999" s="43"/>
      <c r="H999" s="43"/>
      <c r="I999" s="43"/>
      <c r="J999" s="4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</row>
    <row r="1000">
      <c r="A1000" s="43"/>
      <c r="B1000" s="43"/>
      <c r="C1000" s="43"/>
      <c r="D1000" s="43"/>
      <c r="E1000" s="43"/>
      <c r="F1000" s="43"/>
      <c r="G1000" s="43"/>
      <c r="H1000" s="43"/>
      <c r="I1000" s="43"/>
      <c r="J1000" s="43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</row>
  </sheetData>
  <mergeCells count="3">
    <mergeCell ref="A2:O2"/>
    <mergeCell ref="L3:M3"/>
    <mergeCell ref="A47:M47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2021-02-11T16:44:36Z</dcterms:created>
  <dc:creator>CenDepAcm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